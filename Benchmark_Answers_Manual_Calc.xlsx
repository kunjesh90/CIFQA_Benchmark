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OneDrive\Desktop\D\BFL\ESWA\GIT\"/>
    </mc:Choice>
  </mc:AlternateContent>
  <xr:revisionPtr revIDLastSave="0" documentId="13_ncr:1_{2595629D-DFC7-438D-B0BF-E77D795B9003}" xr6:coauthVersionLast="47" xr6:coauthVersionMax="47" xr10:uidLastSave="{00000000-0000-0000-0000-000000000000}"/>
  <bookViews>
    <workbookView xWindow="-110" yWindow="-110" windowWidth="19420" windowHeight="11500" xr2:uid="{00000000-000D-0000-FFFF-FFFF00000000}"/>
  </bookViews>
  <sheets>
    <sheet name="Q1-Q21 Answers" sheetId="5" r:id="rId1"/>
    <sheet name="Q22-Q126 Answer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3" i="3" l="1"/>
  <c r="D350" i="5" l="1"/>
  <c r="D355" i="5" s="1"/>
  <c r="D356" i="5" s="1"/>
  <c r="D357" i="5" s="1"/>
  <c r="C248" i="5"/>
  <c r="D248" i="5"/>
  <c r="E248" i="5"/>
  <c r="F248" i="5"/>
  <c r="G248" i="5"/>
  <c r="C249" i="5"/>
  <c r="C250" i="5"/>
  <c r="E249" i="5"/>
  <c r="G249" i="5"/>
  <c r="D247" i="5"/>
  <c r="C247" i="5"/>
  <c r="D246" i="5"/>
  <c r="D1418" i="3"/>
  <c r="J404" i="5"/>
  <c r="J405" i="5"/>
  <c r="J406" i="5"/>
  <c r="J407" i="5"/>
  <c r="J408" i="5"/>
  <c r="J409" i="5"/>
  <c r="J410" i="5"/>
  <c r="J403" i="5"/>
  <c r="C404" i="5"/>
  <c r="E404" i="5" s="1"/>
  <c r="G404" i="5" s="1"/>
  <c r="F403" i="5"/>
  <c r="E403" i="5"/>
  <c r="G403" i="5" s="1"/>
  <c r="D403" i="5"/>
  <c r="C403" i="5"/>
  <c r="D393" i="5"/>
  <c r="D399" i="5" s="1"/>
  <c r="J382" i="5"/>
  <c r="C382" i="5"/>
  <c r="D382" i="5" s="1"/>
  <c r="D377" i="5"/>
  <c r="D375" i="5"/>
  <c r="D376" i="5" s="1"/>
  <c r="D372" i="5"/>
  <c r="D362" i="5"/>
  <c r="D368" i="5" s="1"/>
  <c r="C353" i="5"/>
  <c r="D349" i="5"/>
  <c r="J338" i="5"/>
  <c r="J339" i="5"/>
  <c r="J340" i="5"/>
  <c r="J337" i="5"/>
  <c r="C337" i="5"/>
  <c r="E337" i="5" s="1"/>
  <c r="G337" i="5" s="1"/>
  <c r="D327" i="5"/>
  <c r="D333" i="5" s="1"/>
  <c r="J316" i="5"/>
  <c r="J317" i="5"/>
  <c r="J318" i="5"/>
  <c r="J319" i="5"/>
  <c r="J320" i="5"/>
  <c r="J321" i="5"/>
  <c r="J322" i="5"/>
  <c r="J315" i="5"/>
  <c r="E315" i="5"/>
  <c r="G315" i="5" s="1"/>
  <c r="D315" i="5"/>
  <c r="C316" i="5" s="1"/>
  <c r="C315" i="5"/>
  <c r="D305" i="5"/>
  <c r="D311" i="5" s="1"/>
  <c r="J295" i="5"/>
  <c r="J294" i="5"/>
  <c r="E294" i="5"/>
  <c r="G294" i="5" s="1"/>
  <c r="D294" i="5"/>
  <c r="C295" i="5" s="1"/>
  <c r="C294" i="5"/>
  <c r="D289" i="5"/>
  <c r="D287" i="5"/>
  <c r="D288" i="5" s="1"/>
  <c r="D284" i="5"/>
  <c r="D274" i="5"/>
  <c r="D280" i="5" s="1"/>
  <c r="D269" i="5"/>
  <c r="D270" i="5" s="1"/>
  <c r="D271" i="5" s="1"/>
  <c r="C267" i="5"/>
  <c r="D257" i="5"/>
  <c r="D267" i="5" s="1"/>
  <c r="C246" i="5"/>
  <c r="E246" i="5" s="1"/>
  <c r="G246" i="5" s="1"/>
  <c r="D236" i="5"/>
  <c r="D242" i="5" s="1"/>
  <c r="D231" i="5"/>
  <c r="D230" i="5"/>
  <c r="D229" i="5"/>
  <c r="D228" i="5"/>
  <c r="D227" i="5"/>
  <c r="C224" i="5"/>
  <c r="E224" i="5" s="1"/>
  <c r="G224" i="5" s="1"/>
  <c r="D220" i="5"/>
  <c r="D214" i="5"/>
  <c r="D208" i="5"/>
  <c r="D209" i="5" s="1"/>
  <c r="D210" i="5" s="1"/>
  <c r="C206" i="5"/>
  <c r="D196" i="5"/>
  <c r="D206" i="5" s="1"/>
  <c r="J189" i="5"/>
  <c r="J190" i="5"/>
  <c r="J188" i="5"/>
  <c r="E188" i="5"/>
  <c r="G188" i="5" s="1"/>
  <c r="D188" i="5"/>
  <c r="C189" i="5" s="1"/>
  <c r="C188" i="5"/>
  <c r="D190" i="5" s="1"/>
  <c r="D178" i="5"/>
  <c r="D184" i="5" s="1"/>
  <c r="D173" i="5"/>
  <c r="D174" i="5" s="1"/>
  <c r="D175" i="5" s="1"/>
  <c r="C171" i="5"/>
  <c r="D161" i="5"/>
  <c r="D167" i="5" s="1"/>
  <c r="D154" i="5"/>
  <c r="D155" i="5" s="1"/>
  <c r="C152" i="5"/>
  <c r="D142" i="5"/>
  <c r="D152" i="5" s="1"/>
  <c r="C130" i="5"/>
  <c r="E130" i="5" s="1"/>
  <c r="G130" i="5" s="1"/>
  <c r="D120" i="5"/>
  <c r="D126" i="5" s="1"/>
  <c r="E115" i="5"/>
  <c r="G115" i="5" s="1"/>
  <c r="D115" i="5"/>
  <c r="F115" i="5" s="1"/>
  <c r="J115" i="5" s="1"/>
  <c r="E117" i="5" s="1"/>
  <c r="C115" i="5"/>
  <c r="D105" i="5"/>
  <c r="D111" i="5" s="1"/>
  <c r="J92" i="5"/>
  <c r="J93" i="5"/>
  <c r="J94" i="5"/>
  <c r="J95" i="5"/>
  <c r="J91" i="5"/>
  <c r="C91" i="5"/>
  <c r="D95" i="5" s="1"/>
  <c r="D87" i="5"/>
  <c r="D81" i="5"/>
  <c r="E76" i="5"/>
  <c r="G76" i="5" s="1"/>
  <c r="D76" i="5"/>
  <c r="F76" i="5" s="1"/>
  <c r="J76" i="5" s="1"/>
  <c r="E78" i="5" s="1"/>
  <c r="C76" i="5"/>
  <c r="D66" i="5"/>
  <c r="D72" i="5" s="1"/>
  <c r="E61" i="5"/>
  <c r="E60" i="5"/>
  <c r="E59" i="5"/>
  <c r="E58" i="5"/>
  <c r="E57" i="5"/>
  <c r="J55" i="5"/>
  <c r="C55" i="5"/>
  <c r="D45" i="5"/>
  <c r="D51" i="5" s="1"/>
  <c r="E55" i="5"/>
  <c r="G55" i="5" s="1"/>
  <c r="D55" i="5"/>
  <c r="F55" i="5" s="1"/>
  <c r="E250" i="5" l="1"/>
  <c r="G250" i="5" s="1"/>
  <c r="D250" i="5"/>
  <c r="F249" i="5"/>
  <c r="F246" i="5"/>
  <c r="J246" i="5" s="1"/>
  <c r="D404" i="5"/>
  <c r="D379" i="5"/>
  <c r="F382" i="5"/>
  <c r="C383" i="5"/>
  <c r="E382" i="5"/>
  <c r="G382" i="5" s="1"/>
  <c r="D353" i="5"/>
  <c r="D337" i="5"/>
  <c r="E316" i="5"/>
  <c r="G316" i="5" s="1"/>
  <c r="D316" i="5"/>
  <c r="F315" i="5"/>
  <c r="D291" i="5"/>
  <c r="D295" i="5"/>
  <c r="F295" i="5" s="1"/>
  <c r="E295" i="5"/>
  <c r="G295" i="5" s="1"/>
  <c r="F294" i="5"/>
  <c r="D263" i="5"/>
  <c r="F247" i="5"/>
  <c r="E247" i="5"/>
  <c r="G247" i="5" s="1"/>
  <c r="D224" i="5"/>
  <c r="F224" i="5" s="1"/>
  <c r="H224" i="5" s="1"/>
  <c r="D202" i="5"/>
  <c r="E189" i="5"/>
  <c r="G189" i="5" s="1"/>
  <c r="D189" i="5"/>
  <c r="F188" i="5"/>
  <c r="D171" i="5"/>
  <c r="D158" i="5"/>
  <c r="D156" i="5"/>
  <c r="D148" i="5"/>
  <c r="D130" i="5"/>
  <c r="F130" i="5" s="1"/>
  <c r="J130" i="5" s="1"/>
  <c r="E91" i="5"/>
  <c r="G91" i="5" s="1"/>
  <c r="D91" i="5"/>
  <c r="F250" i="5" l="1"/>
  <c r="C251" i="5"/>
  <c r="J247" i="5"/>
  <c r="C405" i="5"/>
  <c r="F404" i="5"/>
  <c r="F383" i="5"/>
  <c r="J383" i="5" s="1"/>
  <c r="E383" i="5"/>
  <c r="G383" i="5" s="1"/>
  <c r="C338" i="5"/>
  <c r="F337" i="5"/>
  <c r="C317" i="5"/>
  <c r="F316" i="5"/>
  <c r="D301" i="5"/>
  <c r="J250" i="5"/>
  <c r="C190" i="5"/>
  <c r="F189" i="5"/>
  <c r="E137" i="5"/>
  <c r="E136" i="5"/>
  <c r="E135" i="5"/>
  <c r="E134" i="5"/>
  <c r="E133" i="5"/>
  <c r="F91" i="5"/>
  <c r="E98" i="5" s="1"/>
  <c r="C92" i="5"/>
  <c r="E251" i="5" l="1"/>
  <c r="G251" i="5" s="1"/>
  <c r="D251" i="5"/>
  <c r="D405" i="5"/>
  <c r="E405" i="5"/>
  <c r="G405" i="5" s="1"/>
  <c r="D389" i="5"/>
  <c r="D338" i="5"/>
  <c r="E338" i="5"/>
  <c r="G338" i="5" s="1"/>
  <c r="D317" i="5"/>
  <c r="E317" i="5"/>
  <c r="G317" i="5" s="1"/>
  <c r="J248" i="5"/>
  <c r="E190" i="5"/>
  <c r="G190" i="5" s="1"/>
  <c r="F190" i="5"/>
  <c r="E92" i="5"/>
  <c r="G92" i="5" s="1"/>
  <c r="D92" i="5"/>
  <c r="F251" i="5" l="1"/>
  <c r="C252" i="5"/>
  <c r="J251" i="5"/>
  <c r="F405" i="5"/>
  <c r="C406" i="5"/>
  <c r="F338" i="5"/>
  <c r="C339" i="5"/>
  <c r="C318" i="5"/>
  <c r="F317" i="5"/>
  <c r="E192" i="5"/>
  <c r="F92" i="5"/>
  <c r="E99" i="5" s="1"/>
  <c r="C93" i="5"/>
  <c r="D252" i="5" l="1"/>
  <c r="E252" i="5"/>
  <c r="G252" i="5" s="1"/>
  <c r="J249" i="5"/>
  <c r="E406" i="5"/>
  <c r="G406" i="5" s="1"/>
  <c r="D406" i="5"/>
  <c r="D339" i="5"/>
  <c r="E339" i="5"/>
  <c r="G339" i="5" s="1"/>
  <c r="E318" i="5"/>
  <c r="G318" i="5" s="1"/>
  <c r="D318" i="5"/>
  <c r="E93" i="5"/>
  <c r="G93" i="5" s="1"/>
  <c r="D93" i="5"/>
  <c r="F252" i="5" l="1"/>
  <c r="J252" i="5" s="1"/>
  <c r="C253" i="5"/>
  <c r="C407" i="5"/>
  <c r="F406" i="5"/>
  <c r="C340" i="5"/>
  <c r="F339" i="5"/>
  <c r="C319" i="5"/>
  <c r="F318" i="5"/>
  <c r="C94" i="5"/>
  <c r="F93" i="5"/>
  <c r="E100" i="5" s="1"/>
  <c r="E253" i="5" l="1"/>
  <c r="G253" i="5" s="1"/>
  <c r="D253" i="5"/>
  <c r="D407" i="5"/>
  <c r="E407" i="5"/>
  <c r="G407" i="5" s="1"/>
  <c r="D340" i="5"/>
  <c r="F340" i="5" s="1"/>
  <c r="E340" i="5"/>
  <c r="G340" i="5" s="1"/>
  <c r="E319" i="5"/>
  <c r="G319" i="5" s="1"/>
  <c r="D319" i="5"/>
  <c r="E94" i="5"/>
  <c r="G94" i="5" s="1"/>
  <c r="D94" i="5"/>
  <c r="C254" i="5" l="1"/>
  <c r="F253" i="5"/>
  <c r="J253" i="5" s="1"/>
  <c r="C408" i="5"/>
  <c r="F407" i="5"/>
  <c r="F319" i="5"/>
  <c r="C320" i="5"/>
  <c r="F94" i="5"/>
  <c r="E101" i="5" s="1"/>
  <c r="C95" i="5"/>
  <c r="D254" i="5" l="1"/>
  <c r="F254" i="5" s="1"/>
  <c r="E254" i="5"/>
  <c r="G254" i="5" s="1"/>
  <c r="D408" i="5"/>
  <c r="E408" i="5"/>
  <c r="G408" i="5" s="1"/>
  <c r="E320" i="5"/>
  <c r="G320" i="5" s="1"/>
  <c r="D320" i="5"/>
  <c r="E95" i="5"/>
  <c r="G95" i="5" s="1"/>
  <c r="F95" i="5"/>
  <c r="E102" i="5" s="1"/>
  <c r="J254" i="5" l="1"/>
  <c r="C409" i="5"/>
  <c r="F408" i="5"/>
  <c r="E412" i="5" s="1"/>
  <c r="C321" i="5"/>
  <c r="F320" i="5"/>
  <c r="D409" i="5" l="1"/>
  <c r="E409" i="5"/>
  <c r="G409" i="5" s="1"/>
  <c r="E321" i="5"/>
  <c r="G321" i="5" s="1"/>
  <c r="D321" i="5"/>
  <c r="C410" i="5" l="1"/>
  <c r="F409" i="5"/>
  <c r="C322" i="5"/>
  <c r="F321" i="5"/>
  <c r="E410" i="5" l="1"/>
  <c r="G410" i="5" s="1"/>
  <c r="D410" i="5"/>
  <c r="F410" i="5" s="1"/>
  <c r="E413" i="5" s="1"/>
  <c r="D322" i="5"/>
  <c r="F322" i="5" s="1"/>
  <c r="E322" i="5"/>
  <c r="G322" i="5" s="1"/>
  <c r="E324" i="5" l="1"/>
  <c r="J29" i="5" l="1"/>
  <c r="J30" i="5"/>
  <c r="J31" i="5"/>
  <c r="J32" i="5"/>
  <c r="J33" i="5"/>
  <c r="J34" i="5"/>
  <c r="J35" i="5"/>
  <c r="J36" i="5"/>
  <c r="J37" i="5"/>
  <c r="J38" i="5"/>
  <c r="J39" i="5"/>
  <c r="J28" i="5"/>
  <c r="E28" i="5"/>
  <c r="G28" i="5" s="1"/>
  <c r="D28" i="5"/>
  <c r="C29" i="5" s="1"/>
  <c r="C28" i="5"/>
  <c r="D18" i="5"/>
  <c r="D24" i="5" s="1"/>
  <c r="E13" i="5"/>
  <c r="G13" i="5" s="1"/>
  <c r="D13" i="5"/>
  <c r="F13" i="5" s="1"/>
  <c r="J13" i="5" s="1"/>
  <c r="E15" i="5" s="1"/>
  <c r="C13" i="5"/>
  <c r="D3" i="5"/>
  <c r="D9" i="5" s="1"/>
  <c r="E29" i="5" l="1"/>
  <c r="G29" i="5" s="1"/>
  <c r="D29" i="5"/>
  <c r="F28" i="5"/>
  <c r="C30" i="5" l="1"/>
  <c r="F29" i="5"/>
  <c r="D30" i="5" l="1"/>
  <c r="E30" i="5"/>
  <c r="G30" i="5" s="1"/>
  <c r="C31" i="5" l="1"/>
  <c r="F30" i="5"/>
  <c r="E31" i="5" l="1"/>
  <c r="G31" i="5" s="1"/>
  <c r="D31" i="5"/>
  <c r="C32" i="5" l="1"/>
  <c r="F31" i="5"/>
  <c r="D32" i="5" l="1"/>
  <c r="E32" i="5"/>
  <c r="G32" i="5" s="1"/>
  <c r="C33" i="5" l="1"/>
  <c r="F32" i="5"/>
  <c r="E33" i="5" l="1"/>
  <c r="G33" i="5" s="1"/>
  <c r="D33" i="5"/>
  <c r="C34" i="5" l="1"/>
  <c r="F33" i="5"/>
  <c r="D34" i="5" l="1"/>
  <c r="E34" i="5"/>
  <c r="G34" i="5" s="1"/>
  <c r="C35" i="5" l="1"/>
  <c r="F34" i="5"/>
  <c r="E35" i="5" l="1"/>
  <c r="G35" i="5" s="1"/>
  <c r="D35" i="5"/>
  <c r="C36" i="5" l="1"/>
  <c r="F35" i="5"/>
  <c r="E36" i="5" l="1"/>
  <c r="G36" i="5" s="1"/>
  <c r="D36" i="5"/>
  <c r="C37" i="5" l="1"/>
  <c r="F36" i="5"/>
  <c r="E37" i="5" l="1"/>
  <c r="G37" i="5" s="1"/>
  <c r="D37" i="5"/>
  <c r="C38" i="5" l="1"/>
  <c r="F37" i="5"/>
  <c r="E38" i="5" l="1"/>
  <c r="G38" i="5" s="1"/>
  <c r="D38" i="5"/>
  <c r="C39" i="5" l="1"/>
  <c r="F38" i="5"/>
  <c r="E39" i="5" l="1"/>
  <c r="G39" i="5" s="1"/>
  <c r="D39" i="5"/>
  <c r="F39" i="5" s="1"/>
  <c r="E41" i="5" s="1"/>
  <c r="G621" i="3" l="1"/>
  <c r="F621" i="3"/>
  <c r="G558" i="3"/>
  <c r="F531" i="3"/>
  <c r="F431" i="3"/>
  <c r="E278" i="3"/>
  <c r="E249" i="3"/>
  <c r="J139" i="3" l="1"/>
  <c r="D1602" i="3"/>
  <c r="D1603" i="3" s="1"/>
  <c r="D1604" i="3" s="1"/>
  <c r="C1600" i="3"/>
  <c r="D1590" i="3"/>
  <c r="D1600" i="3" s="1"/>
  <c r="J1572" i="3"/>
  <c r="J1573" i="3"/>
  <c r="J1574" i="3"/>
  <c r="J1575" i="3"/>
  <c r="J1576" i="3"/>
  <c r="J1577" i="3"/>
  <c r="J1578" i="3"/>
  <c r="J1579" i="3"/>
  <c r="J1580" i="3"/>
  <c r="J1581" i="3"/>
  <c r="J1582" i="3"/>
  <c r="J1571" i="3"/>
  <c r="E1571" i="3"/>
  <c r="G1571" i="3" s="1"/>
  <c r="D1571" i="3"/>
  <c r="C1572" i="3" s="1"/>
  <c r="C1571" i="3"/>
  <c r="D1561" i="3"/>
  <c r="D1567" i="3" s="1"/>
  <c r="D1553" i="3"/>
  <c r="D1554" i="3" s="1"/>
  <c r="D1555" i="3" s="1"/>
  <c r="C1551" i="3"/>
  <c r="D1541" i="3"/>
  <c r="D1547" i="3" s="1"/>
  <c r="C1519" i="3"/>
  <c r="D1509" i="3"/>
  <c r="D1519" i="3" s="1"/>
  <c r="J1502" i="3"/>
  <c r="J1503" i="3"/>
  <c r="J1501" i="3"/>
  <c r="E1505" i="3"/>
  <c r="D1501" i="3"/>
  <c r="C1502" i="3" s="1"/>
  <c r="C1501" i="3"/>
  <c r="D1503" i="3" s="1"/>
  <c r="D1491" i="3"/>
  <c r="D1497" i="3" s="1"/>
  <c r="J1475" i="3"/>
  <c r="J1476" i="3"/>
  <c r="J1477" i="3"/>
  <c r="J1478" i="3"/>
  <c r="J1479" i="3"/>
  <c r="J1474" i="3"/>
  <c r="D1477" i="3"/>
  <c r="C1478" i="3" s="1"/>
  <c r="D1475" i="3"/>
  <c r="C1476" i="3" s="1"/>
  <c r="E1476" i="3" s="1"/>
  <c r="G1476" i="3" s="1"/>
  <c r="C1474" i="3"/>
  <c r="E1474" i="3" s="1"/>
  <c r="G1474" i="3" s="1"/>
  <c r="D1464" i="3"/>
  <c r="D1470" i="3" s="1"/>
  <c r="J1453" i="3"/>
  <c r="C1454" i="3"/>
  <c r="D1454" i="3" s="1"/>
  <c r="E1453" i="3"/>
  <c r="G1453" i="3" s="1"/>
  <c r="C1453" i="3"/>
  <c r="F1453" i="3" s="1"/>
  <c r="D1443" i="3"/>
  <c r="D1449" i="3" s="1"/>
  <c r="D1596" i="3" l="1"/>
  <c r="E1572" i="3"/>
  <c r="G1572" i="3" s="1"/>
  <c r="D1572" i="3"/>
  <c r="F1571" i="3"/>
  <c r="D1551" i="3"/>
  <c r="D1515" i="3"/>
  <c r="D1516" i="3" s="1"/>
  <c r="D1521" i="3" s="1"/>
  <c r="D1522" i="3" s="1"/>
  <c r="D1523" i="3" s="1"/>
  <c r="D1502" i="3"/>
  <c r="E1502" i="3"/>
  <c r="G1502" i="3" s="1"/>
  <c r="E1501" i="3"/>
  <c r="G1501" i="3" s="1"/>
  <c r="F1501" i="3"/>
  <c r="E1478" i="3"/>
  <c r="G1478" i="3" s="1"/>
  <c r="D1478" i="3"/>
  <c r="D1474" i="3"/>
  <c r="D1476" i="3"/>
  <c r="D1460" i="3"/>
  <c r="C1455" i="3"/>
  <c r="F1454" i="3"/>
  <c r="E1454" i="3"/>
  <c r="G1454" i="3" s="1"/>
  <c r="J1454" i="3" l="1"/>
  <c r="C1573" i="3"/>
  <c r="F1572" i="3"/>
  <c r="E1506" i="3"/>
  <c r="C1503" i="3"/>
  <c r="F1502" i="3"/>
  <c r="C1477" i="3"/>
  <c r="F1476" i="3"/>
  <c r="E1483" i="3" s="1"/>
  <c r="C1475" i="3"/>
  <c r="F1474" i="3"/>
  <c r="E1481" i="3" s="1"/>
  <c r="C1479" i="3"/>
  <c r="F1478" i="3"/>
  <c r="E1485" i="3" s="1"/>
  <c r="D1455" i="3"/>
  <c r="E1455" i="3"/>
  <c r="G1455" i="3" s="1"/>
  <c r="E1573" i="3" l="1"/>
  <c r="G1573" i="3" s="1"/>
  <c r="D1573" i="3"/>
  <c r="E1503" i="3"/>
  <c r="G1503" i="3" s="1"/>
  <c r="F1503" i="3"/>
  <c r="E1475" i="3"/>
  <c r="G1475" i="3" s="1"/>
  <c r="F1475" i="3"/>
  <c r="E1482" i="3" s="1"/>
  <c r="D1479" i="3"/>
  <c r="E1479" i="3"/>
  <c r="G1479" i="3" s="1"/>
  <c r="E1477" i="3"/>
  <c r="G1477" i="3" s="1"/>
  <c r="F1477" i="3"/>
  <c r="E1484" i="3" s="1"/>
  <c r="F1455" i="3"/>
  <c r="J1455" i="3" s="1"/>
  <c r="C1456" i="3"/>
  <c r="C1574" i="3" l="1"/>
  <c r="F1573" i="3"/>
  <c r="D1488" i="3"/>
  <c r="F1479" i="3"/>
  <c r="E1486" i="3" s="1"/>
  <c r="E1456" i="3"/>
  <c r="G1456" i="3" s="1"/>
  <c r="D1456" i="3"/>
  <c r="F1456" i="3" s="1"/>
  <c r="J1456" i="3" l="1"/>
  <c r="D1459" i="3" s="1"/>
  <c r="E1574" i="3"/>
  <c r="G1574" i="3" s="1"/>
  <c r="D1574" i="3"/>
  <c r="C1575" i="3" l="1"/>
  <c r="F1574" i="3"/>
  <c r="E1575" i="3" l="1"/>
  <c r="G1575" i="3" s="1"/>
  <c r="D1575" i="3"/>
  <c r="C1576" i="3" l="1"/>
  <c r="F1575" i="3"/>
  <c r="D1576" i="3" l="1"/>
  <c r="E1576" i="3"/>
  <c r="G1576" i="3" s="1"/>
  <c r="C1577" i="3" l="1"/>
  <c r="F1576" i="3"/>
  <c r="D1577" i="3" l="1"/>
  <c r="E1577" i="3"/>
  <c r="G1577" i="3" s="1"/>
  <c r="C1578" i="3" l="1"/>
  <c r="F1577" i="3"/>
  <c r="E1578" i="3" l="1"/>
  <c r="G1578" i="3" s="1"/>
  <c r="D1578" i="3"/>
  <c r="C1579" i="3" l="1"/>
  <c r="F1578" i="3"/>
  <c r="E1579" i="3" l="1"/>
  <c r="G1579" i="3" s="1"/>
  <c r="D1579" i="3"/>
  <c r="C1580" i="3" l="1"/>
  <c r="F1579" i="3"/>
  <c r="D1580" i="3" l="1"/>
  <c r="E1580" i="3"/>
  <c r="G1580" i="3" s="1"/>
  <c r="C1581" i="3" l="1"/>
  <c r="F1580" i="3"/>
  <c r="E1581" i="3" l="1"/>
  <c r="G1581" i="3" s="1"/>
  <c r="D1581" i="3"/>
  <c r="C1582" i="3" l="1"/>
  <c r="F1581" i="3"/>
  <c r="E1582" i="3" l="1"/>
  <c r="G1582" i="3" s="1"/>
  <c r="D1582" i="3"/>
  <c r="F1582" i="3" s="1"/>
  <c r="D1584" i="3" s="1"/>
  <c r="E1436" i="3" l="1"/>
  <c r="G1436" i="3" s="1"/>
  <c r="D1436" i="3"/>
  <c r="E1439" i="3" s="1"/>
  <c r="C1436" i="3"/>
  <c r="C1434" i="3"/>
  <c r="E1434" i="3" s="1"/>
  <c r="G1434" i="3" s="1"/>
  <c r="C1432" i="3"/>
  <c r="E1432" i="3" s="1"/>
  <c r="G1432" i="3" s="1"/>
  <c r="C1429" i="3"/>
  <c r="E1429" i="3" s="1"/>
  <c r="G1429" i="3" s="1"/>
  <c r="C1428" i="3"/>
  <c r="E1428" i="3" s="1"/>
  <c r="G1428" i="3" s="1"/>
  <c r="D1424" i="3"/>
  <c r="D1411" i="3"/>
  <c r="D1412" i="3" s="1"/>
  <c r="D1413" i="3" s="1"/>
  <c r="C1409" i="3"/>
  <c r="D1399" i="3"/>
  <c r="D1409" i="3" s="1"/>
  <c r="D1429" i="3" l="1"/>
  <c r="D1434" i="3"/>
  <c r="D1432" i="3"/>
  <c r="F1436" i="3"/>
  <c r="J1436" i="3" s="1"/>
  <c r="F1428" i="3"/>
  <c r="J1428" i="3" s="1"/>
  <c r="D1415" i="3"/>
  <c r="D1405" i="3"/>
  <c r="F1432" i="3" l="1"/>
  <c r="J1432" i="3" s="1"/>
  <c r="C1433" i="3"/>
  <c r="C1435" i="3"/>
  <c r="F1434" i="3"/>
  <c r="J1434" i="3" s="1"/>
  <c r="C1430" i="3"/>
  <c r="F1429" i="3"/>
  <c r="J1429" i="3" s="1"/>
  <c r="D1430" i="3" l="1"/>
  <c r="E1430" i="3"/>
  <c r="G1430" i="3" s="1"/>
  <c r="F1435" i="3"/>
  <c r="E1435" i="3"/>
  <c r="G1435" i="3" s="1"/>
  <c r="F1433" i="3"/>
  <c r="E1433" i="3"/>
  <c r="G1433" i="3" s="1"/>
  <c r="J1435" i="3" l="1"/>
  <c r="J1433" i="3"/>
  <c r="F1430" i="3"/>
  <c r="J1430" i="3" s="1"/>
  <c r="C1431" i="3"/>
  <c r="F1431" i="3" l="1"/>
  <c r="E1431" i="3"/>
  <c r="G1431" i="3" s="1"/>
  <c r="J1431" i="3" l="1"/>
  <c r="D1381" i="3"/>
  <c r="D1382" i="3" s="1"/>
  <c r="D1383" i="3" s="1"/>
  <c r="C1379" i="3"/>
  <c r="D1369" i="3"/>
  <c r="D1379" i="3" s="1"/>
  <c r="D1363" i="3"/>
  <c r="D1364" i="3" s="1"/>
  <c r="D1365" i="3" s="1"/>
  <c r="C1361" i="3"/>
  <c r="D1351" i="3"/>
  <c r="D1357" i="3" s="1"/>
  <c r="C1335" i="3"/>
  <c r="D1335" i="3" s="1"/>
  <c r="F1335" i="3" s="1"/>
  <c r="D1325" i="3"/>
  <c r="D1331" i="3" s="1"/>
  <c r="D1375" i="3" l="1"/>
  <c r="D1361" i="3"/>
  <c r="E1335" i="3"/>
  <c r="G1335" i="3" s="1"/>
  <c r="J1335" i="3" s="1"/>
  <c r="E1309" i="3"/>
  <c r="G1309" i="3" s="1"/>
  <c r="D1309" i="3"/>
  <c r="C1310" i="3" s="1"/>
  <c r="D1299" i="3"/>
  <c r="D1305" i="3" s="1"/>
  <c r="C1289" i="3"/>
  <c r="E1289" i="3" s="1"/>
  <c r="G1289" i="3" s="1"/>
  <c r="D1279" i="3"/>
  <c r="D1285" i="3" s="1"/>
  <c r="C1267" i="3"/>
  <c r="D1267" i="3" s="1"/>
  <c r="F1267" i="3" s="1"/>
  <c r="D1257" i="3"/>
  <c r="D1263" i="3" s="1"/>
  <c r="C1244" i="3"/>
  <c r="D1244" i="3" s="1"/>
  <c r="F1244" i="3" s="1"/>
  <c r="D1234" i="3"/>
  <c r="D1240" i="3" s="1"/>
  <c r="D1342" i="3" l="1"/>
  <c r="D1341" i="3"/>
  <c r="D1340" i="3"/>
  <c r="D1339" i="3"/>
  <c r="D1338" i="3"/>
  <c r="E1310" i="3"/>
  <c r="G1310" i="3" s="1"/>
  <c r="D1310" i="3"/>
  <c r="F1309" i="3"/>
  <c r="J1309" i="3" s="1"/>
  <c r="D1289" i="3"/>
  <c r="F1289" i="3" s="1"/>
  <c r="J1289" i="3" s="1"/>
  <c r="E1267" i="3"/>
  <c r="G1267" i="3" s="1"/>
  <c r="J1267" i="3" s="1"/>
  <c r="E1244" i="3"/>
  <c r="G1244" i="3" s="1"/>
  <c r="J1244" i="3" s="1"/>
  <c r="D1322" i="3" l="1"/>
  <c r="D1318" i="3"/>
  <c r="D1321" i="3"/>
  <c r="D1320" i="3"/>
  <c r="D1319" i="3"/>
  <c r="C1311" i="3"/>
  <c r="F1310" i="3"/>
  <c r="J1310" i="3" s="1"/>
  <c r="D1296" i="3"/>
  <c r="D1295" i="3"/>
  <c r="D1294" i="3"/>
  <c r="D1292" i="3"/>
  <c r="D1293" i="3"/>
  <c r="D1274" i="3"/>
  <c r="D1273" i="3"/>
  <c r="D1272" i="3"/>
  <c r="D1270" i="3"/>
  <c r="D1271" i="3"/>
  <c r="D1311" i="3" l="1"/>
  <c r="E1311" i="3"/>
  <c r="G1311" i="3" s="1"/>
  <c r="F1311" i="3" l="1"/>
  <c r="J1311" i="3" s="1"/>
  <c r="C1312" i="3"/>
  <c r="E1312" i="3" l="1"/>
  <c r="G1312" i="3" s="1"/>
  <c r="D1312" i="3"/>
  <c r="F1312" i="3" l="1"/>
  <c r="J1312" i="3" s="1"/>
  <c r="C1313" i="3"/>
  <c r="E1313" i="3" l="1"/>
  <c r="G1313" i="3" s="1"/>
  <c r="D1313" i="3"/>
  <c r="F1313" i="3" l="1"/>
  <c r="J1313" i="3" s="1"/>
  <c r="C1314" i="3"/>
  <c r="E1314" i="3" l="1"/>
  <c r="G1314" i="3" s="1"/>
  <c r="D1314" i="3"/>
  <c r="F1314" i="3" l="1"/>
  <c r="J1314" i="3" s="1"/>
  <c r="C1315" i="3"/>
  <c r="E1315" i="3" l="1"/>
  <c r="G1315" i="3" s="1"/>
  <c r="D1315" i="3"/>
  <c r="F1315" i="3" l="1"/>
  <c r="J1315" i="3" s="1"/>
  <c r="C1316" i="3"/>
  <c r="E1316" i="3" l="1"/>
  <c r="G1316" i="3" s="1"/>
  <c r="D1316" i="3"/>
  <c r="F1316" i="3" s="1"/>
  <c r="J1316" i="3" s="1"/>
  <c r="D1228" i="3" l="1"/>
  <c r="D1226" i="3"/>
  <c r="D1227" i="3" s="1"/>
  <c r="D1223" i="3"/>
  <c r="D1214" i="3"/>
  <c r="D1219" i="3" s="1"/>
  <c r="E1202" i="3"/>
  <c r="G1202" i="3" s="1"/>
  <c r="D1202" i="3"/>
  <c r="C1203" i="3" s="1"/>
  <c r="D1197" i="3"/>
  <c r="D1195" i="3"/>
  <c r="D1196" i="3" s="1"/>
  <c r="D1192" i="3"/>
  <c r="D1182" i="3"/>
  <c r="D1188" i="3" s="1"/>
  <c r="D1176" i="3"/>
  <c r="D1174" i="3"/>
  <c r="D1175" i="3" s="1"/>
  <c r="D1171" i="3"/>
  <c r="D1162" i="3"/>
  <c r="D1167" i="3" s="1"/>
  <c r="E1151" i="3"/>
  <c r="G1151" i="3" s="1"/>
  <c r="D1151" i="3"/>
  <c r="F1151" i="3" s="1"/>
  <c r="J1151" i="3" s="1"/>
  <c r="D1146" i="3"/>
  <c r="D1144" i="3"/>
  <c r="D1145" i="3" s="1"/>
  <c r="D1141" i="3"/>
  <c r="D1131" i="3"/>
  <c r="D1137" i="3" s="1"/>
  <c r="D1124" i="3"/>
  <c r="D1122" i="3"/>
  <c r="D1123" i="3" s="1"/>
  <c r="D1119" i="3"/>
  <c r="D1110" i="3"/>
  <c r="D1115" i="3" s="1"/>
  <c r="D1103" i="3"/>
  <c r="D1101" i="3"/>
  <c r="D1102" i="3" s="1"/>
  <c r="D1098" i="3"/>
  <c r="D1089" i="3"/>
  <c r="D1094" i="3" s="1"/>
  <c r="E1078" i="3"/>
  <c r="G1078" i="3" s="1"/>
  <c r="D1078" i="3"/>
  <c r="C1079" i="3" s="1"/>
  <c r="D1073" i="3"/>
  <c r="D1071" i="3"/>
  <c r="D1072" i="3" s="1"/>
  <c r="D1068" i="3"/>
  <c r="D1059" i="3"/>
  <c r="D1064" i="3" s="1"/>
  <c r="D1053" i="3"/>
  <c r="D1051" i="3"/>
  <c r="D1052" i="3" s="1"/>
  <c r="D1048" i="3"/>
  <c r="D1039" i="3"/>
  <c r="D1044" i="3" s="1"/>
  <c r="D1031" i="3"/>
  <c r="D1032" i="3" s="1"/>
  <c r="D1033" i="3" s="1"/>
  <c r="C1029" i="3"/>
  <c r="D1019" i="3"/>
  <c r="D1029" i="3" s="1"/>
  <c r="C1152" i="3" l="1"/>
  <c r="D1152" i="3" s="1"/>
  <c r="C1153" i="3" s="1"/>
  <c r="D1178" i="3"/>
  <c r="D1179" i="3" s="1"/>
  <c r="D1126" i="3"/>
  <c r="D1127" i="3" s="1"/>
  <c r="D1035" i="3"/>
  <c r="D1055" i="3"/>
  <c r="D1056" i="3" s="1"/>
  <c r="D1230" i="3"/>
  <c r="D1231" i="3" s="1"/>
  <c r="E1203" i="3"/>
  <c r="G1203" i="3" s="1"/>
  <c r="D1203" i="3"/>
  <c r="D1199" i="3"/>
  <c r="F1202" i="3"/>
  <c r="J1202" i="3" s="1"/>
  <c r="D1148" i="3"/>
  <c r="D1105" i="3"/>
  <c r="D1106" i="3" s="1"/>
  <c r="D1075" i="3"/>
  <c r="D1079" i="3"/>
  <c r="E1079" i="3"/>
  <c r="G1079" i="3" s="1"/>
  <c r="F1078" i="3"/>
  <c r="J1078" i="3" s="1"/>
  <c r="D1025" i="3"/>
  <c r="D1012" i="3"/>
  <c r="D1013" i="3" s="1"/>
  <c r="D1014" i="3" s="1"/>
  <c r="C1010" i="3"/>
  <c r="D1000" i="3"/>
  <c r="D1006" i="3" s="1"/>
  <c r="F1152" i="3" l="1"/>
  <c r="D1016" i="3"/>
  <c r="E1152" i="3"/>
  <c r="G1152" i="3" s="1"/>
  <c r="J1152" i="3" s="1"/>
  <c r="C1204" i="3"/>
  <c r="F1203" i="3"/>
  <c r="J1203" i="3" s="1"/>
  <c r="D1153" i="3"/>
  <c r="F1153" i="3" s="1"/>
  <c r="E1153" i="3"/>
  <c r="G1153" i="3" s="1"/>
  <c r="C1080" i="3"/>
  <c r="F1079" i="3"/>
  <c r="J1079" i="3" s="1"/>
  <c r="D1010" i="3"/>
  <c r="J1153" i="3" l="1"/>
  <c r="D1156" i="3" s="1"/>
  <c r="E1204" i="3"/>
  <c r="G1204" i="3" s="1"/>
  <c r="D1204" i="3"/>
  <c r="E1080" i="3"/>
  <c r="G1080" i="3" s="1"/>
  <c r="D1080" i="3"/>
  <c r="F1204" i="3" l="1"/>
  <c r="J1204" i="3" s="1"/>
  <c r="C1205" i="3"/>
  <c r="C1081" i="3"/>
  <c r="F1080" i="3"/>
  <c r="J1080" i="3" s="1"/>
  <c r="E1205" i="3" l="1"/>
  <c r="G1205" i="3" s="1"/>
  <c r="D1205" i="3"/>
  <c r="E1081" i="3"/>
  <c r="G1081" i="3" s="1"/>
  <c r="D1081" i="3"/>
  <c r="C1206" i="3" l="1"/>
  <c r="F1205" i="3"/>
  <c r="J1205" i="3" s="1"/>
  <c r="C1082" i="3"/>
  <c r="F1081" i="3"/>
  <c r="J1081" i="3" s="1"/>
  <c r="D1206" i="3" l="1"/>
  <c r="E1206" i="3"/>
  <c r="G1206" i="3" s="1"/>
  <c r="D1082" i="3"/>
  <c r="E1082" i="3"/>
  <c r="G1082" i="3" s="1"/>
  <c r="F1206" i="3" l="1"/>
  <c r="J1206" i="3" s="1"/>
  <c r="C1207" i="3"/>
  <c r="F1082" i="3"/>
  <c r="J1082" i="3" s="1"/>
  <c r="C1083" i="3"/>
  <c r="E1207" i="3" l="1"/>
  <c r="G1207" i="3" s="1"/>
  <c r="D1207" i="3"/>
  <c r="F1207" i="3" s="1"/>
  <c r="E1083" i="3"/>
  <c r="G1083" i="3" s="1"/>
  <c r="D1083" i="3"/>
  <c r="F1083" i="3" s="1"/>
  <c r="J1083" i="3" l="1"/>
  <c r="D1085" i="3" s="1"/>
  <c r="J1207" i="3"/>
  <c r="D1209" i="3" s="1"/>
  <c r="D992" i="3"/>
  <c r="D993" i="3" s="1"/>
  <c r="D994" i="3" s="1"/>
  <c r="D996" i="3" s="1"/>
  <c r="C990" i="3"/>
  <c r="D980" i="3"/>
  <c r="D990" i="3" s="1"/>
  <c r="D972" i="3"/>
  <c r="D973" i="3" s="1"/>
  <c r="D974" i="3" s="1"/>
  <c r="C970" i="3"/>
  <c r="D960" i="3"/>
  <c r="D970" i="3" s="1"/>
  <c r="D952" i="3"/>
  <c r="D953" i="3" s="1"/>
  <c r="D954" i="3" s="1"/>
  <c r="C950" i="3"/>
  <c r="D940" i="3"/>
  <c r="D946" i="3" s="1"/>
  <c r="D932" i="3"/>
  <c r="D933" i="3" s="1"/>
  <c r="D936" i="3" s="1"/>
  <c r="C930" i="3"/>
  <c r="D920" i="3"/>
  <c r="D926" i="3" s="1"/>
  <c r="D912" i="3"/>
  <c r="D913" i="3" s="1"/>
  <c r="D914" i="3" s="1"/>
  <c r="C910" i="3"/>
  <c r="D900" i="3"/>
  <c r="D906" i="3" s="1"/>
  <c r="C891" i="3"/>
  <c r="D881" i="3"/>
  <c r="D891" i="3" s="1"/>
  <c r="D874" i="3"/>
  <c r="D875" i="3" s="1"/>
  <c r="C872" i="3"/>
  <c r="D862" i="3"/>
  <c r="D868" i="3" s="1"/>
  <c r="D853" i="3"/>
  <c r="D854" i="3" s="1"/>
  <c r="C851" i="3"/>
  <c r="D841" i="3"/>
  <c r="D851" i="3" s="1"/>
  <c r="D857" i="3" s="1"/>
  <c r="D833" i="3"/>
  <c r="D834" i="3" s="1"/>
  <c r="C831" i="3"/>
  <c r="D821" i="3"/>
  <c r="D831" i="3" s="1"/>
  <c r="D956" i="3" l="1"/>
  <c r="D916" i="3"/>
  <c r="D976" i="3"/>
  <c r="D986" i="3"/>
  <c r="D966" i="3"/>
  <c r="D950" i="3"/>
  <c r="D930" i="3"/>
  <c r="D934" i="3"/>
  <c r="D910" i="3"/>
  <c r="D887" i="3"/>
  <c r="D888" i="3" s="1"/>
  <c r="D894" i="3" s="1"/>
  <c r="D878" i="3"/>
  <c r="D876" i="3"/>
  <c r="D872" i="3"/>
  <c r="D858" i="3"/>
  <c r="D855" i="3"/>
  <c r="D847" i="3"/>
  <c r="D837" i="3"/>
  <c r="D835" i="3"/>
  <c r="D827" i="3"/>
  <c r="E1438" i="3" l="1"/>
  <c r="D895" i="3"/>
  <c r="D897" i="3"/>
  <c r="C810" i="3" l="1"/>
  <c r="E810" i="3" s="1"/>
  <c r="G810" i="3" s="1"/>
  <c r="D807" i="3"/>
  <c r="D800" i="3"/>
  <c r="D806" i="3" s="1"/>
  <c r="D810" i="3" l="1"/>
  <c r="D812" i="3"/>
  <c r="C811" i="3" l="1"/>
  <c r="F810" i="3"/>
  <c r="J810" i="3" l="1"/>
  <c r="G814" i="3" s="1"/>
  <c r="E811" i="3"/>
  <c r="G811" i="3" s="1"/>
  <c r="D811" i="3"/>
  <c r="C812" i="3" l="1"/>
  <c r="F811" i="3"/>
  <c r="J811" i="3" l="1"/>
  <c r="G815" i="3" s="1"/>
  <c r="E812" i="3"/>
  <c r="G812" i="3" s="1"/>
  <c r="F812" i="3"/>
  <c r="J812" i="3" l="1"/>
  <c r="G816" i="3" s="1"/>
  <c r="C777" i="3" l="1"/>
  <c r="E777" i="3" s="1"/>
  <c r="G777" i="3" s="1"/>
  <c r="D767" i="3"/>
  <c r="D773" i="3" s="1"/>
  <c r="C752" i="3"/>
  <c r="E752" i="3" s="1"/>
  <c r="G752" i="3" s="1"/>
  <c r="D742" i="3"/>
  <c r="D748" i="3" s="1"/>
  <c r="C730" i="3"/>
  <c r="D731" i="3" s="1"/>
  <c r="E736" i="3" s="1"/>
  <c r="D727" i="3"/>
  <c r="D720" i="3"/>
  <c r="D726" i="3" s="1"/>
  <c r="D1251" i="3" l="1"/>
  <c r="D1250" i="3"/>
  <c r="D1249" i="3"/>
  <c r="D1247" i="3"/>
  <c r="D1248" i="3"/>
  <c r="D777" i="3"/>
  <c r="F777" i="3" s="1"/>
  <c r="J777" i="3" s="1"/>
  <c r="D779" i="3" s="1"/>
  <c r="D730" i="3"/>
  <c r="F730" i="3" s="1"/>
  <c r="E730" i="3"/>
  <c r="G730" i="3" s="1"/>
  <c r="D752" i="3"/>
  <c r="C732" i="3"/>
  <c r="J730" i="3" l="1"/>
  <c r="F735" i="3" s="1"/>
  <c r="C753" i="3"/>
  <c r="F752" i="3"/>
  <c r="J752" i="3" s="1"/>
  <c r="C731" i="3"/>
  <c r="E735" i="3"/>
  <c r="E732" i="3"/>
  <c r="D732" i="3"/>
  <c r="F732" i="3" l="1"/>
  <c r="E737" i="3"/>
  <c r="E731" i="3"/>
  <c r="G731" i="3" s="1"/>
  <c r="F731" i="3"/>
  <c r="E753" i="3"/>
  <c r="G753" i="3" s="1"/>
  <c r="D753" i="3"/>
  <c r="G732" i="3"/>
  <c r="F753" i="3" l="1"/>
  <c r="J753" i="3" s="1"/>
  <c r="C754" i="3"/>
  <c r="J731" i="3"/>
  <c r="F736" i="3" s="1"/>
  <c r="J732" i="3"/>
  <c r="F737" i="3" s="1"/>
  <c r="D754" i="3" l="1"/>
  <c r="E754" i="3"/>
  <c r="G754" i="3" s="1"/>
  <c r="C755" i="3" l="1"/>
  <c r="F754" i="3"/>
  <c r="J754" i="3" s="1"/>
  <c r="E755" i="3" l="1"/>
  <c r="G755" i="3" s="1"/>
  <c r="D755" i="3"/>
  <c r="F755" i="3" l="1"/>
  <c r="J755" i="3" s="1"/>
  <c r="C756" i="3"/>
  <c r="D756" i="3" l="1"/>
  <c r="E756" i="3"/>
  <c r="G756" i="3" s="1"/>
  <c r="F756" i="3" l="1"/>
  <c r="J756" i="3" s="1"/>
  <c r="C757" i="3"/>
  <c r="D757" i="3" l="1"/>
  <c r="F757" i="3" s="1"/>
  <c r="E757" i="3"/>
  <c r="G757" i="3" s="1"/>
  <c r="J757" i="3" l="1"/>
  <c r="C705" i="3" l="1"/>
  <c r="E705" i="3" s="1"/>
  <c r="G705" i="3" s="1"/>
  <c r="D695" i="3"/>
  <c r="D701" i="3" s="1"/>
  <c r="E678" i="3"/>
  <c r="G678" i="3" s="1"/>
  <c r="D678" i="3"/>
  <c r="F678" i="3" s="1"/>
  <c r="D668" i="3"/>
  <c r="D674" i="3" s="1"/>
  <c r="E663" i="3"/>
  <c r="G663" i="3" s="1"/>
  <c r="D663" i="3"/>
  <c r="F663" i="3" s="1"/>
  <c r="D653" i="3"/>
  <c r="D659" i="3" s="1"/>
  <c r="D647" i="3"/>
  <c r="E634" i="3"/>
  <c r="G634" i="3" s="1"/>
  <c r="D634" i="3"/>
  <c r="C635" i="3" s="1"/>
  <c r="D631" i="3"/>
  <c r="D624" i="3"/>
  <c r="D630" i="3" s="1"/>
  <c r="E571" i="3"/>
  <c r="G571" i="3" s="1"/>
  <c r="D571" i="3"/>
  <c r="C572" i="3" s="1"/>
  <c r="D561" i="3"/>
  <c r="D567" i="3" s="1"/>
  <c r="E545" i="3"/>
  <c r="G545" i="3" s="1"/>
  <c r="D545" i="3"/>
  <c r="F545" i="3" s="1"/>
  <c r="D535" i="3"/>
  <c r="D541" i="3" s="1"/>
  <c r="E524" i="3"/>
  <c r="G524" i="3" s="1"/>
  <c r="D524" i="3"/>
  <c r="C525" i="3" s="1"/>
  <c r="D514" i="3"/>
  <c r="D520" i="3" s="1"/>
  <c r="J545" i="3" l="1"/>
  <c r="J678" i="3"/>
  <c r="D705" i="3"/>
  <c r="J663" i="3"/>
  <c r="F634" i="3"/>
  <c r="J634" i="3" s="1"/>
  <c r="C679" i="3"/>
  <c r="F665" i="3"/>
  <c r="E635" i="3"/>
  <c r="G635" i="3" s="1"/>
  <c r="D635" i="3"/>
  <c r="E572" i="3"/>
  <c r="G572" i="3" s="1"/>
  <c r="D572" i="3"/>
  <c r="F571" i="3"/>
  <c r="C546" i="3"/>
  <c r="D525" i="3"/>
  <c r="E525" i="3"/>
  <c r="G525" i="3" s="1"/>
  <c r="F524" i="3"/>
  <c r="J524" i="3" s="1"/>
  <c r="F705" i="3" l="1"/>
  <c r="C706" i="3"/>
  <c r="D712" i="3"/>
  <c r="E679" i="3"/>
  <c r="G679" i="3" s="1"/>
  <c r="D679" i="3"/>
  <c r="C636" i="3"/>
  <c r="F635" i="3"/>
  <c r="J635" i="3" s="1"/>
  <c r="J571" i="3"/>
  <c r="F597" i="3" s="1"/>
  <c r="F572" i="3"/>
  <c r="C573" i="3"/>
  <c r="D546" i="3"/>
  <c r="E546" i="3"/>
  <c r="G546" i="3" s="1"/>
  <c r="C526" i="3"/>
  <c r="F525" i="3"/>
  <c r="J525" i="3" s="1"/>
  <c r="D706" i="3" l="1"/>
  <c r="E706" i="3"/>
  <c r="G706" i="3" s="1"/>
  <c r="J705" i="3"/>
  <c r="E712" i="3" s="1"/>
  <c r="C680" i="3"/>
  <c r="F679" i="3"/>
  <c r="J679" i="3" s="1"/>
  <c r="J572" i="3"/>
  <c r="F598" i="3" s="1"/>
  <c r="D636" i="3"/>
  <c r="E636" i="3"/>
  <c r="G636" i="3" s="1"/>
  <c r="F546" i="3"/>
  <c r="J546" i="3" s="1"/>
  <c r="C547" i="3"/>
  <c r="E573" i="3"/>
  <c r="G573" i="3" s="1"/>
  <c r="D573" i="3"/>
  <c r="E526" i="3"/>
  <c r="G526" i="3" s="1"/>
  <c r="D526" i="3"/>
  <c r="C707" i="3" l="1"/>
  <c r="F706" i="3"/>
  <c r="J706" i="3" s="1"/>
  <c r="E713" i="3" s="1"/>
  <c r="D713" i="3"/>
  <c r="E680" i="3"/>
  <c r="G680" i="3" s="1"/>
  <c r="D680" i="3"/>
  <c r="C637" i="3"/>
  <c r="F636" i="3"/>
  <c r="J636" i="3" s="1"/>
  <c r="C574" i="3"/>
  <c r="F573" i="3"/>
  <c r="E547" i="3"/>
  <c r="G547" i="3" s="1"/>
  <c r="D547" i="3"/>
  <c r="C527" i="3"/>
  <c r="F526" i="3"/>
  <c r="J526" i="3" s="1"/>
  <c r="D707" i="3" l="1"/>
  <c r="E707" i="3"/>
  <c r="G707" i="3" s="1"/>
  <c r="C681" i="3"/>
  <c r="F680" i="3"/>
  <c r="J680" i="3" s="1"/>
  <c r="J573" i="3"/>
  <c r="F599" i="3" s="1"/>
  <c r="E637" i="3"/>
  <c r="G637" i="3" s="1"/>
  <c r="D637" i="3"/>
  <c r="C548" i="3"/>
  <c r="F547" i="3"/>
  <c r="J547" i="3" s="1"/>
  <c r="G554" i="3" s="1"/>
  <c r="E574" i="3"/>
  <c r="G574" i="3" s="1"/>
  <c r="D574" i="3"/>
  <c r="E527" i="3"/>
  <c r="G527" i="3" s="1"/>
  <c r="D527" i="3"/>
  <c r="F707" i="3" l="1"/>
  <c r="C708" i="3"/>
  <c r="D714" i="3"/>
  <c r="E681" i="3"/>
  <c r="G681" i="3" s="1"/>
  <c r="D681" i="3"/>
  <c r="C638" i="3"/>
  <c r="F637" i="3"/>
  <c r="J637" i="3" s="1"/>
  <c r="C575" i="3"/>
  <c r="F574" i="3"/>
  <c r="E548" i="3"/>
  <c r="G548" i="3" s="1"/>
  <c r="D548" i="3"/>
  <c r="C528" i="3"/>
  <c r="F527" i="3"/>
  <c r="J527" i="3" s="1"/>
  <c r="D708" i="3" l="1"/>
  <c r="E708" i="3"/>
  <c r="G708" i="3" s="1"/>
  <c r="J707" i="3"/>
  <c r="E714" i="3" s="1"/>
  <c r="C682" i="3"/>
  <c r="F681" i="3"/>
  <c r="J681" i="3" s="1"/>
  <c r="J574" i="3"/>
  <c r="F600" i="3" s="1"/>
  <c r="D638" i="3"/>
  <c r="E638" i="3"/>
  <c r="G638" i="3" s="1"/>
  <c r="C549" i="3"/>
  <c r="F548" i="3"/>
  <c r="J548" i="3" s="1"/>
  <c r="E575" i="3"/>
  <c r="G575" i="3" s="1"/>
  <c r="D575" i="3"/>
  <c r="E528" i="3"/>
  <c r="G528" i="3" s="1"/>
  <c r="D528" i="3"/>
  <c r="D715" i="3" l="1"/>
  <c r="F708" i="3"/>
  <c r="D682" i="3"/>
  <c r="E682" i="3"/>
  <c r="G682" i="3" s="1"/>
  <c r="F638" i="3"/>
  <c r="J638" i="3" s="1"/>
  <c r="C639" i="3"/>
  <c r="C576" i="3"/>
  <c r="F575" i="3"/>
  <c r="E549" i="3"/>
  <c r="G549" i="3" s="1"/>
  <c r="D549" i="3"/>
  <c r="C529" i="3"/>
  <c r="F528" i="3"/>
  <c r="J528" i="3" s="1"/>
  <c r="J708" i="3" l="1"/>
  <c r="E715" i="3" s="1"/>
  <c r="F682" i="3"/>
  <c r="J682" i="3" s="1"/>
  <c r="C683" i="3"/>
  <c r="J575" i="3"/>
  <c r="F601" i="3" s="1"/>
  <c r="E639" i="3"/>
  <c r="G639" i="3" s="1"/>
  <c r="D639" i="3"/>
  <c r="C550" i="3"/>
  <c r="F549" i="3"/>
  <c r="J549" i="3" s="1"/>
  <c r="E576" i="3"/>
  <c r="G576" i="3" s="1"/>
  <c r="D576" i="3"/>
  <c r="E529" i="3"/>
  <c r="G529" i="3" s="1"/>
  <c r="D529" i="3"/>
  <c r="F529" i="3" s="1"/>
  <c r="E683" i="3" l="1"/>
  <c r="G683" i="3" s="1"/>
  <c r="D683" i="3"/>
  <c r="C640" i="3"/>
  <c r="F639" i="3"/>
  <c r="J639" i="3" s="1"/>
  <c r="F576" i="3"/>
  <c r="C577" i="3"/>
  <c r="D550" i="3"/>
  <c r="F550" i="3" s="1"/>
  <c r="E550" i="3"/>
  <c r="G550" i="3" s="1"/>
  <c r="J529" i="3"/>
  <c r="C684" i="3" l="1"/>
  <c r="F683" i="3"/>
  <c r="J683" i="3" s="1"/>
  <c r="J576" i="3"/>
  <c r="F602" i="3" s="1"/>
  <c r="D640" i="3"/>
  <c r="E640" i="3"/>
  <c r="G640" i="3" s="1"/>
  <c r="J550" i="3"/>
  <c r="G557" i="3" s="1"/>
  <c r="E577" i="3"/>
  <c r="G577" i="3" s="1"/>
  <c r="D577" i="3"/>
  <c r="E684" i="3" l="1"/>
  <c r="G684" i="3" s="1"/>
  <c r="D684" i="3"/>
  <c r="C641" i="3"/>
  <c r="F640" i="3"/>
  <c r="J640" i="3" s="1"/>
  <c r="C578" i="3"/>
  <c r="F577" i="3"/>
  <c r="C685" i="3" l="1"/>
  <c r="F684" i="3"/>
  <c r="J684" i="3" s="1"/>
  <c r="J577" i="3"/>
  <c r="F603" i="3" s="1"/>
  <c r="E641" i="3"/>
  <c r="G641" i="3" s="1"/>
  <c r="D641" i="3"/>
  <c r="E578" i="3"/>
  <c r="G578" i="3" s="1"/>
  <c r="D578" i="3"/>
  <c r="E685" i="3" l="1"/>
  <c r="G685" i="3" s="1"/>
  <c r="D685" i="3"/>
  <c r="C642" i="3"/>
  <c r="F641" i="3"/>
  <c r="J641" i="3" s="1"/>
  <c r="F578" i="3"/>
  <c r="C579" i="3"/>
  <c r="C686" i="3" l="1"/>
  <c r="F685" i="3"/>
  <c r="J685" i="3" s="1"/>
  <c r="J578" i="3"/>
  <c r="F604" i="3" s="1"/>
  <c r="D642" i="3"/>
  <c r="E642" i="3"/>
  <c r="G642" i="3" s="1"/>
  <c r="E579" i="3"/>
  <c r="G579" i="3" s="1"/>
  <c r="D579" i="3"/>
  <c r="D686" i="3" l="1"/>
  <c r="E686" i="3"/>
  <c r="G686" i="3" s="1"/>
  <c r="F642" i="3"/>
  <c r="J642" i="3" s="1"/>
  <c r="C643" i="3"/>
  <c r="C580" i="3"/>
  <c r="F579" i="3"/>
  <c r="F686" i="3" l="1"/>
  <c r="J686" i="3" s="1"/>
  <c r="C687" i="3"/>
  <c r="E643" i="3"/>
  <c r="G643" i="3" s="1"/>
  <c r="D643" i="3"/>
  <c r="J579" i="3"/>
  <c r="F605" i="3" s="1"/>
  <c r="E580" i="3"/>
  <c r="G580" i="3" s="1"/>
  <c r="D580" i="3"/>
  <c r="E687" i="3" l="1"/>
  <c r="G687" i="3" s="1"/>
  <c r="D687" i="3"/>
  <c r="C644" i="3"/>
  <c r="F643" i="3"/>
  <c r="J643" i="3" s="1"/>
  <c r="F580" i="3"/>
  <c r="C581" i="3"/>
  <c r="C688" i="3" l="1"/>
  <c r="F687" i="3"/>
  <c r="J687" i="3" s="1"/>
  <c r="J580" i="3"/>
  <c r="F606" i="3" s="1"/>
  <c r="D644" i="3"/>
  <c r="E644" i="3"/>
  <c r="G644" i="3" s="1"/>
  <c r="E581" i="3"/>
  <c r="G581" i="3" s="1"/>
  <c r="D581" i="3"/>
  <c r="D688" i="3" l="1"/>
  <c r="E688" i="3"/>
  <c r="G688" i="3" s="1"/>
  <c r="F644" i="3"/>
  <c r="J644" i="3" s="1"/>
  <c r="C645" i="3"/>
  <c r="C582" i="3"/>
  <c r="F581" i="3"/>
  <c r="F688" i="3" l="1"/>
  <c r="J688" i="3" s="1"/>
  <c r="C689" i="3"/>
  <c r="J581" i="3"/>
  <c r="F607" i="3" s="1"/>
  <c r="E645" i="3"/>
  <c r="G645" i="3" s="1"/>
  <c r="D645" i="3"/>
  <c r="E582" i="3"/>
  <c r="G582" i="3" s="1"/>
  <c r="D582" i="3"/>
  <c r="E689" i="3" l="1"/>
  <c r="G689" i="3" s="1"/>
  <c r="D689" i="3"/>
  <c r="F689" i="3" s="1"/>
  <c r="C646" i="3"/>
  <c r="F645" i="3"/>
  <c r="J645" i="3" s="1"/>
  <c r="F582" i="3"/>
  <c r="C583" i="3"/>
  <c r="J689" i="3" l="1"/>
  <c r="G691" i="3" s="1"/>
  <c r="J582" i="3"/>
  <c r="F608" i="3" s="1"/>
  <c r="D646" i="3"/>
  <c r="E646" i="3"/>
  <c r="G646" i="3" s="1"/>
  <c r="E583" i="3"/>
  <c r="G583" i="3" s="1"/>
  <c r="D583" i="3"/>
  <c r="C647" i="3" l="1"/>
  <c r="F646" i="3"/>
  <c r="J646" i="3" s="1"/>
  <c r="C584" i="3"/>
  <c r="F583" i="3"/>
  <c r="J583" i="3" l="1"/>
  <c r="F609" i="3" s="1"/>
  <c r="E647" i="3"/>
  <c r="G647" i="3" s="1"/>
  <c r="F647" i="3"/>
  <c r="E584" i="3"/>
  <c r="G584" i="3" s="1"/>
  <c r="D584" i="3"/>
  <c r="J647" i="3" l="1"/>
  <c r="F650" i="3" s="1"/>
  <c r="F649" i="3"/>
  <c r="F584" i="3"/>
  <c r="C585" i="3"/>
  <c r="J584" i="3" l="1"/>
  <c r="F610" i="3" s="1"/>
  <c r="D585" i="3"/>
  <c r="E585" i="3"/>
  <c r="G585" i="3" s="1"/>
  <c r="C586" i="3" l="1"/>
  <c r="F585" i="3"/>
  <c r="J585" i="3" l="1"/>
  <c r="F611" i="3" s="1"/>
  <c r="E586" i="3"/>
  <c r="G586" i="3" s="1"/>
  <c r="D586" i="3"/>
  <c r="F586" i="3" l="1"/>
  <c r="C587" i="3"/>
  <c r="J586" i="3" l="1"/>
  <c r="F612" i="3" s="1"/>
  <c r="E587" i="3"/>
  <c r="G587" i="3" s="1"/>
  <c r="D587" i="3"/>
  <c r="C588" i="3" l="1"/>
  <c r="F587" i="3"/>
  <c r="J587" i="3" l="1"/>
  <c r="F613" i="3" s="1"/>
  <c r="E588" i="3"/>
  <c r="G588" i="3" s="1"/>
  <c r="D588" i="3"/>
  <c r="C589" i="3" l="1"/>
  <c r="F588" i="3"/>
  <c r="J588" i="3" l="1"/>
  <c r="F614" i="3" s="1"/>
  <c r="E589" i="3"/>
  <c r="G589" i="3" s="1"/>
  <c r="D589" i="3"/>
  <c r="C590" i="3" l="1"/>
  <c r="F589" i="3"/>
  <c r="J589" i="3" l="1"/>
  <c r="F615" i="3" s="1"/>
  <c r="E590" i="3"/>
  <c r="G590" i="3" s="1"/>
  <c r="D590" i="3"/>
  <c r="F590" i="3" l="1"/>
  <c r="C591" i="3"/>
  <c r="J590" i="3" l="1"/>
  <c r="F616" i="3" s="1"/>
  <c r="E591" i="3"/>
  <c r="G591" i="3" s="1"/>
  <c r="D591" i="3"/>
  <c r="C592" i="3" l="1"/>
  <c r="F591" i="3"/>
  <c r="J591" i="3" l="1"/>
  <c r="F617" i="3" s="1"/>
  <c r="E592" i="3"/>
  <c r="G592" i="3" s="1"/>
  <c r="D592" i="3"/>
  <c r="F592" i="3" l="1"/>
  <c r="C593" i="3"/>
  <c r="J592" i="3" l="1"/>
  <c r="F618" i="3" s="1"/>
  <c r="E593" i="3"/>
  <c r="G593" i="3" s="1"/>
  <c r="D593" i="3"/>
  <c r="C594" i="3" l="1"/>
  <c r="F593" i="3"/>
  <c r="J593" i="3" l="1"/>
  <c r="F619" i="3" s="1"/>
  <c r="E594" i="3"/>
  <c r="G594" i="3" s="1"/>
  <c r="D594" i="3"/>
  <c r="F594" i="3" s="1"/>
  <c r="J594" i="3" l="1"/>
  <c r="F620" i="3" s="1"/>
  <c r="C498" i="3"/>
  <c r="E498" i="3" s="1"/>
  <c r="G498" i="3" s="1"/>
  <c r="C496" i="3"/>
  <c r="E496" i="3" s="1"/>
  <c r="G496" i="3" s="1"/>
  <c r="C494" i="3"/>
  <c r="D494" i="3" s="1"/>
  <c r="C491" i="3"/>
  <c r="E491" i="3" s="1"/>
  <c r="G491" i="3" s="1"/>
  <c r="F490" i="3"/>
  <c r="E490" i="3"/>
  <c r="G490" i="3" s="1"/>
  <c r="D480" i="3"/>
  <c r="D486" i="3" s="1"/>
  <c r="C473" i="3"/>
  <c r="E473" i="3" s="1"/>
  <c r="G473" i="3" s="1"/>
  <c r="C471" i="3"/>
  <c r="E471" i="3" s="1"/>
  <c r="G471" i="3" s="1"/>
  <c r="C468" i="3"/>
  <c r="E468" i="3" s="1"/>
  <c r="G468" i="3" s="1"/>
  <c r="C466" i="3"/>
  <c r="E466" i="3" s="1"/>
  <c r="G466" i="3" s="1"/>
  <c r="C464" i="3"/>
  <c r="E464" i="3" s="1"/>
  <c r="G464" i="3" s="1"/>
  <c r="F463" i="3"/>
  <c r="E463" i="3"/>
  <c r="G463" i="3" s="1"/>
  <c r="D453" i="3"/>
  <c r="D459" i="3" s="1"/>
  <c r="E406" i="3"/>
  <c r="G406" i="3" s="1"/>
  <c r="D406" i="3"/>
  <c r="C407" i="3" s="1"/>
  <c r="D396" i="3"/>
  <c r="D402" i="3" s="1"/>
  <c r="E379" i="3"/>
  <c r="G379" i="3" s="1"/>
  <c r="D379" i="3"/>
  <c r="F379" i="3" s="1"/>
  <c r="D369" i="3"/>
  <c r="D375" i="3" s="1"/>
  <c r="E364" i="3"/>
  <c r="G364" i="3" s="1"/>
  <c r="D364" i="3"/>
  <c r="F364" i="3" s="1"/>
  <c r="D354" i="3"/>
  <c r="D360" i="3" s="1"/>
  <c r="E349" i="3"/>
  <c r="G349" i="3" s="1"/>
  <c r="D349" i="3"/>
  <c r="F349" i="3" s="1"/>
  <c r="D339" i="3"/>
  <c r="D345" i="3" s="1"/>
  <c r="E334" i="3"/>
  <c r="G334" i="3" s="1"/>
  <c r="D334" i="3"/>
  <c r="F334" i="3" s="1"/>
  <c r="D324" i="3"/>
  <c r="D330" i="3" s="1"/>
  <c r="J490" i="3" l="1"/>
  <c r="F498" i="3"/>
  <c r="J498" i="3"/>
  <c r="F508" i="3" s="1"/>
  <c r="E494" i="3"/>
  <c r="G494" i="3" s="1"/>
  <c r="D496" i="3"/>
  <c r="F496" i="3" s="1"/>
  <c r="J496" i="3" s="1"/>
  <c r="D468" i="3"/>
  <c r="F468" i="3" s="1"/>
  <c r="J468" i="3" s="1"/>
  <c r="D473" i="3"/>
  <c r="C474" i="3" s="1"/>
  <c r="D474" i="3" s="1"/>
  <c r="F474" i="3" s="1"/>
  <c r="J463" i="3"/>
  <c r="C495" i="3"/>
  <c r="F494" i="3"/>
  <c r="J494" i="3" s="1"/>
  <c r="C497" i="3"/>
  <c r="D491" i="3"/>
  <c r="D471" i="3"/>
  <c r="D466" i="3"/>
  <c r="D464" i="3"/>
  <c r="J364" i="3"/>
  <c r="D366" i="3" s="1"/>
  <c r="J379" i="3"/>
  <c r="E407" i="3"/>
  <c r="G407" i="3" s="1"/>
  <c r="D407" i="3"/>
  <c r="F406" i="3"/>
  <c r="J406" i="3" s="1"/>
  <c r="C380" i="3"/>
  <c r="J349" i="3"/>
  <c r="D351" i="3" s="1"/>
  <c r="J334" i="3"/>
  <c r="D336" i="3" s="1"/>
  <c r="E474" i="3" l="1"/>
  <c r="G474" i="3" s="1"/>
  <c r="J474" i="3" s="1"/>
  <c r="E476" i="3" s="1"/>
  <c r="C469" i="3"/>
  <c r="D469" i="3" s="1"/>
  <c r="C470" i="3" s="1"/>
  <c r="F470" i="3" s="1"/>
  <c r="F473" i="3"/>
  <c r="J473" i="3" s="1"/>
  <c r="E469" i="3"/>
  <c r="G469" i="3" s="1"/>
  <c r="F497" i="3"/>
  <c r="E497" i="3"/>
  <c r="G497" i="3" s="1"/>
  <c r="F491" i="3"/>
  <c r="J491" i="3" s="1"/>
  <c r="C492" i="3"/>
  <c r="F495" i="3"/>
  <c r="E495" i="3"/>
  <c r="G495" i="3" s="1"/>
  <c r="F466" i="3"/>
  <c r="J466" i="3" s="1"/>
  <c r="C467" i="3"/>
  <c r="F464" i="3"/>
  <c r="J464" i="3" s="1"/>
  <c r="C465" i="3"/>
  <c r="C472" i="3"/>
  <c r="F471" i="3"/>
  <c r="J471" i="3" s="1"/>
  <c r="F407" i="3"/>
  <c r="J407" i="3" s="1"/>
  <c r="C408" i="3"/>
  <c r="E380" i="3"/>
  <c r="G380" i="3" s="1"/>
  <c r="D380" i="3"/>
  <c r="E470" i="3" l="1"/>
  <c r="G470" i="3" s="1"/>
  <c r="J470" i="3" s="1"/>
  <c r="F469" i="3"/>
  <c r="J495" i="3"/>
  <c r="J497" i="3"/>
  <c r="J469" i="3"/>
  <c r="D492" i="3"/>
  <c r="E492" i="3"/>
  <c r="G492" i="3" s="1"/>
  <c r="F472" i="3"/>
  <c r="E472" i="3"/>
  <c r="G472" i="3" s="1"/>
  <c r="F465" i="3"/>
  <c r="E465" i="3"/>
  <c r="G465" i="3" s="1"/>
  <c r="F467" i="3"/>
  <c r="E467" i="3"/>
  <c r="G467" i="3" s="1"/>
  <c r="E408" i="3"/>
  <c r="G408" i="3" s="1"/>
  <c r="D408" i="3"/>
  <c r="F380" i="3"/>
  <c r="J380" i="3" s="1"/>
  <c r="C381" i="3"/>
  <c r="J467" i="3" l="1"/>
  <c r="J465" i="3"/>
  <c r="J472" i="3"/>
  <c r="C493" i="3"/>
  <c r="F492" i="3"/>
  <c r="J492" i="3" s="1"/>
  <c r="C409" i="3"/>
  <c r="F408" i="3"/>
  <c r="J408" i="3" s="1"/>
  <c r="D381" i="3"/>
  <c r="E381" i="3"/>
  <c r="G381" i="3" s="1"/>
  <c r="F493" i="3" l="1"/>
  <c r="E493" i="3"/>
  <c r="G493" i="3" s="1"/>
  <c r="E409" i="3"/>
  <c r="G409" i="3" s="1"/>
  <c r="D409" i="3"/>
  <c r="F381" i="3"/>
  <c r="J381" i="3" s="1"/>
  <c r="C382" i="3"/>
  <c r="J493" i="3" l="1"/>
  <c r="F409" i="3"/>
  <c r="J409" i="3" s="1"/>
  <c r="C410" i="3"/>
  <c r="E382" i="3"/>
  <c r="G382" i="3" s="1"/>
  <c r="D382" i="3"/>
  <c r="D410" i="3" l="1"/>
  <c r="E410" i="3"/>
  <c r="G410" i="3" s="1"/>
  <c r="F382" i="3"/>
  <c r="J382" i="3" s="1"/>
  <c r="C383" i="3"/>
  <c r="C411" i="3" l="1"/>
  <c r="F410" i="3"/>
  <c r="J410" i="3" s="1"/>
  <c r="D383" i="3"/>
  <c r="E383" i="3"/>
  <c r="G383" i="3" s="1"/>
  <c r="E411" i="3" l="1"/>
  <c r="G411" i="3" s="1"/>
  <c r="D411" i="3"/>
  <c r="F383" i="3"/>
  <c r="J383" i="3" s="1"/>
  <c r="C384" i="3"/>
  <c r="F411" i="3" l="1"/>
  <c r="J411" i="3" s="1"/>
  <c r="C412" i="3"/>
  <c r="E384" i="3"/>
  <c r="G384" i="3" s="1"/>
  <c r="D384" i="3"/>
  <c r="D412" i="3" l="1"/>
  <c r="E412" i="3"/>
  <c r="G412" i="3" s="1"/>
  <c r="C385" i="3"/>
  <c r="F384" i="3"/>
  <c r="J384" i="3" s="1"/>
  <c r="C413" i="3" l="1"/>
  <c r="F412" i="3"/>
  <c r="J412" i="3" s="1"/>
  <c r="D385" i="3"/>
  <c r="E385" i="3"/>
  <c r="G385" i="3" s="1"/>
  <c r="E413" i="3" l="1"/>
  <c r="G413" i="3" s="1"/>
  <c r="D413" i="3"/>
  <c r="C386" i="3"/>
  <c r="F385" i="3"/>
  <c r="J385" i="3" s="1"/>
  <c r="F413" i="3" l="1"/>
  <c r="J413" i="3" s="1"/>
  <c r="C414" i="3"/>
  <c r="E386" i="3"/>
  <c r="G386" i="3" s="1"/>
  <c r="D386" i="3"/>
  <c r="D414" i="3" l="1"/>
  <c r="E414" i="3"/>
  <c r="G414" i="3" s="1"/>
  <c r="F386" i="3"/>
  <c r="J386" i="3" s="1"/>
  <c r="C387" i="3"/>
  <c r="C415" i="3" l="1"/>
  <c r="F414" i="3"/>
  <c r="J414" i="3" s="1"/>
  <c r="E387" i="3"/>
  <c r="G387" i="3" s="1"/>
  <c r="D387" i="3"/>
  <c r="E415" i="3" l="1"/>
  <c r="G415" i="3" s="1"/>
  <c r="D415" i="3"/>
  <c r="F387" i="3"/>
  <c r="J387" i="3" s="1"/>
  <c r="C388" i="3"/>
  <c r="F415" i="3" l="1"/>
  <c r="J415" i="3" s="1"/>
  <c r="C416" i="3"/>
  <c r="E388" i="3"/>
  <c r="G388" i="3" s="1"/>
  <c r="D388" i="3"/>
  <c r="D416" i="3" l="1"/>
  <c r="E416" i="3"/>
  <c r="G416" i="3" s="1"/>
  <c r="F388" i="3"/>
  <c r="J388" i="3" s="1"/>
  <c r="C389" i="3"/>
  <c r="C417" i="3" l="1"/>
  <c r="F416" i="3"/>
  <c r="J416" i="3" s="1"/>
  <c r="E389" i="3"/>
  <c r="G389" i="3" s="1"/>
  <c r="D389" i="3"/>
  <c r="F763" i="3" l="1"/>
  <c r="F761" i="3"/>
  <c r="F759" i="3"/>
  <c r="F760" i="3"/>
  <c r="F762" i="3"/>
  <c r="F764" i="3"/>
  <c r="E417" i="3"/>
  <c r="G417" i="3" s="1"/>
  <c r="D417" i="3"/>
  <c r="F417" i="3" s="1"/>
  <c r="C390" i="3"/>
  <c r="F389" i="3"/>
  <c r="J389" i="3" s="1"/>
  <c r="E392" i="3" s="1"/>
  <c r="J417" i="3" l="1"/>
  <c r="E390" i="3"/>
  <c r="G390" i="3" s="1"/>
  <c r="D390" i="3"/>
  <c r="F390" i="3" s="1"/>
  <c r="J390" i="3" s="1"/>
  <c r="E393" i="3" s="1"/>
  <c r="E319" i="3" l="1"/>
  <c r="G319" i="3" s="1"/>
  <c r="D319" i="3"/>
  <c r="F319" i="3" s="1"/>
  <c r="D316" i="3"/>
  <c r="D309" i="3"/>
  <c r="D315" i="3" s="1"/>
  <c r="E290" i="3"/>
  <c r="G290" i="3" s="1"/>
  <c r="D290" i="3"/>
  <c r="F290" i="3" s="1"/>
  <c r="D280" i="3"/>
  <c r="D286" i="3" s="1"/>
  <c r="E261" i="3"/>
  <c r="G261" i="3" s="1"/>
  <c r="D261" i="3"/>
  <c r="C262" i="3" s="1"/>
  <c r="D251" i="3"/>
  <c r="D257" i="3" s="1"/>
  <c r="E232" i="3"/>
  <c r="G232" i="3" s="1"/>
  <c r="D232" i="3"/>
  <c r="C233" i="3" s="1"/>
  <c r="D222" i="3"/>
  <c r="D228" i="3" s="1"/>
  <c r="D208" i="3"/>
  <c r="D207" i="3"/>
  <c r="C208" i="3" s="1"/>
  <c r="D206" i="3"/>
  <c r="C207" i="3" s="1"/>
  <c r="E207" i="3" s="1"/>
  <c r="G207" i="3" s="1"/>
  <c r="D205" i="3"/>
  <c r="C206" i="3" s="1"/>
  <c r="D204" i="3"/>
  <c r="C205" i="3" s="1"/>
  <c r="E205" i="3" s="1"/>
  <c r="G205" i="3" s="1"/>
  <c r="D203" i="3"/>
  <c r="C204" i="3" s="1"/>
  <c r="D202" i="3"/>
  <c r="C203" i="3" s="1"/>
  <c r="E203" i="3" s="1"/>
  <c r="G203" i="3" s="1"/>
  <c r="E201" i="3"/>
  <c r="G201" i="3" s="1"/>
  <c r="D201" i="3"/>
  <c r="C202" i="3" s="1"/>
  <c r="D191" i="3"/>
  <c r="D197" i="3" s="1"/>
  <c r="D182" i="3"/>
  <c r="D181" i="3"/>
  <c r="C182" i="3" s="1"/>
  <c r="E182" i="3" s="1"/>
  <c r="G182" i="3" s="1"/>
  <c r="D180" i="3"/>
  <c r="E179" i="3"/>
  <c r="G179" i="3" s="1"/>
  <c r="D179" i="3"/>
  <c r="F179" i="3" s="1"/>
  <c r="D169" i="3"/>
  <c r="D175" i="3" s="1"/>
  <c r="E164" i="3"/>
  <c r="G164" i="3" s="1"/>
  <c r="D164" i="3"/>
  <c r="F164" i="3" s="1"/>
  <c r="D154" i="3"/>
  <c r="D160" i="3" s="1"/>
  <c r="E127" i="3"/>
  <c r="G127" i="3" s="1"/>
  <c r="D127" i="3"/>
  <c r="C128" i="3" s="1"/>
  <c r="D117" i="3"/>
  <c r="D123" i="3" s="1"/>
  <c r="D434" i="3"/>
  <c r="E104" i="3"/>
  <c r="G104" i="3" s="1"/>
  <c r="D104" i="3"/>
  <c r="F104" i="3" s="1"/>
  <c r="D94" i="3"/>
  <c r="D108" i="3" s="1"/>
  <c r="J164" i="3" l="1"/>
  <c r="J290" i="3"/>
  <c r="J319" i="3"/>
  <c r="D321" i="3" s="1"/>
  <c r="C291" i="3"/>
  <c r="E291" i="3" s="1"/>
  <c r="G291" i="3" s="1"/>
  <c r="D262" i="3"/>
  <c r="E262" i="3"/>
  <c r="G262" i="3" s="1"/>
  <c r="F261" i="3"/>
  <c r="D233" i="3"/>
  <c r="E233" i="3"/>
  <c r="G233" i="3" s="1"/>
  <c r="F203" i="3"/>
  <c r="J203" i="3" s="1"/>
  <c r="F205" i="3"/>
  <c r="J205" i="3" s="1"/>
  <c r="F232" i="3"/>
  <c r="J232" i="3" s="1"/>
  <c r="E241" i="3" s="1"/>
  <c r="F207" i="3"/>
  <c r="J207" i="3" s="1"/>
  <c r="E204" i="3"/>
  <c r="G204" i="3" s="1"/>
  <c r="F204" i="3"/>
  <c r="E206" i="3"/>
  <c r="G206" i="3" s="1"/>
  <c r="F206" i="3"/>
  <c r="E202" i="3"/>
  <c r="G202" i="3" s="1"/>
  <c r="F202" i="3"/>
  <c r="E208" i="3"/>
  <c r="G208" i="3" s="1"/>
  <c r="F208" i="3"/>
  <c r="C180" i="3"/>
  <c r="E180" i="3" s="1"/>
  <c r="G180" i="3" s="1"/>
  <c r="F201" i="3"/>
  <c r="J201" i="3" s="1"/>
  <c r="F182" i="3"/>
  <c r="J182" i="3" s="1"/>
  <c r="D188" i="3" s="1"/>
  <c r="J179" i="3"/>
  <c r="D185" i="3" s="1"/>
  <c r="C181" i="3"/>
  <c r="E181" i="3" s="1"/>
  <c r="G181" i="3" s="1"/>
  <c r="D166" i="3"/>
  <c r="E128" i="3"/>
  <c r="G128" i="3" s="1"/>
  <c r="D128" i="3"/>
  <c r="F127" i="3"/>
  <c r="J127" i="3" s="1"/>
  <c r="J104" i="3"/>
  <c r="C105" i="3"/>
  <c r="D291" i="3" l="1"/>
  <c r="C292" i="3" s="1"/>
  <c r="D292" i="3" s="1"/>
  <c r="C293" i="3" s="1"/>
  <c r="J206" i="3"/>
  <c r="J261" i="3"/>
  <c r="E270" i="3" s="1"/>
  <c r="F262" i="3"/>
  <c r="C263" i="3"/>
  <c r="J202" i="3"/>
  <c r="J204" i="3"/>
  <c r="J208" i="3"/>
  <c r="C234" i="3"/>
  <c r="F233" i="3"/>
  <c r="F180" i="3"/>
  <c r="J180" i="3" s="1"/>
  <c r="D186" i="3" s="1"/>
  <c r="F181" i="3"/>
  <c r="C129" i="3"/>
  <c r="F128" i="3"/>
  <c r="J128" i="3" s="1"/>
  <c r="D105" i="3"/>
  <c r="E105" i="3"/>
  <c r="G105" i="3" s="1"/>
  <c r="F292" i="3" l="1"/>
  <c r="E292" i="3"/>
  <c r="G292" i="3" s="1"/>
  <c r="J292" i="3" s="1"/>
  <c r="F291" i="3"/>
  <c r="J291" i="3" s="1"/>
  <c r="D305" i="3" s="1"/>
  <c r="E293" i="3"/>
  <c r="G293" i="3" s="1"/>
  <c r="D293" i="3"/>
  <c r="J262" i="3"/>
  <c r="E271" i="3" s="1"/>
  <c r="E263" i="3"/>
  <c r="G263" i="3" s="1"/>
  <c r="D263" i="3"/>
  <c r="J233" i="3"/>
  <c r="E242" i="3" s="1"/>
  <c r="E234" i="3"/>
  <c r="G234" i="3" s="1"/>
  <c r="D234" i="3"/>
  <c r="J181" i="3"/>
  <c r="D187" i="3" s="1"/>
  <c r="E129" i="3"/>
  <c r="G129" i="3" s="1"/>
  <c r="D129" i="3"/>
  <c r="C106" i="3"/>
  <c r="F105" i="3"/>
  <c r="J105" i="3" s="1"/>
  <c r="G556" i="3" l="1"/>
  <c r="G552" i="3"/>
  <c r="G555" i="3"/>
  <c r="G553" i="3"/>
  <c r="C294" i="3"/>
  <c r="F293" i="3"/>
  <c r="J293" i="3" s="1"/>
  <c r="C264" i="3"/>
  <c r="F263" i="3"/>
  <c r="C235" i="3"/>
  <c r="F234" i="3"/>
  <c r="C130" i="3"/>
  <c r="F129" i="3"/>
  <c r="J129" i="3" s="1"/>
  <c r="E106" i="3"/>
  <c r="G106" i="3" s="1"/>
  <c r="D106" i="3"/>
  <c r="J263" i="3" l="1"/>
  <c r="E272" i="3" s="1"/>
  <c r="D294" i="3"/>
  <c r="E294" i="3"/>
  <c r="G294" i="3" s="1"/>
  <c r="J234" i="3"/>
  <c r="E243" i="3" s="1"/>
  <c r="D264" i="3"/>
  <c r="E264" i="3"/>
  <c r="G264" i="3" s="1"/>
  <c r="D235" i="3"/>
  <c r="E235" i="3"/>
  <c r="G235" i="3" s="1"/>
  <c r="E130" i="3"/>
  <c r="G130" i="3" s="1"/>
  <c r="D130" i="3"/>
  <c r="F106" i="3"/>
  <c r="J106" i="3" s="1"/>
  <c r="C107" i="3"/>
  <c r="C295" i="3" l="1"/>
  <c r="F294" i="3"/>
  <c r="F264" i="3"/>
  <c r="C265" i="3"/>
  <c r="C236" i="3"/>
  <c r="F235" i="3"/>
  <c r="F130" i="3"/>
  <c r="J130" i="3" s="1"/>
  <c r="C131" i="3"/>
  <c r="E107" i="3"/>
  <c r="G107" i="3" s="1"/>
  <c r="D107" i="3"/>
  <c r="J294" i="3" l="1"/>
  <c r="D306" i="3" s="1"/>
  <c r="J264" i="3"/>
  <c r="E273" i="3" s="1"/>
  <c r="E295" i="3"/>
  <c r="G295" i="3" s="1"/>
  <c r="D295" i="3"/>
  <c r="J235" i="3"/>
  <c r="E244" i="3" s="1"/>
  <c r="E265" i="3"/>
  <c r="G265" i="3" s="1"/>
  <c r="D265" i="3"/>
  <c r="E236" i="3"/>
  <c r="G236" i="3" s="1"/>
  <c r="D236" i="3"/>
  <c r="D131" i="3"/>
  <c r="E131" i="3"/>
  <c r="G131" i="3" s="1"/>
  <c r="C108" i="3"/>
  <c r="F107" i="3"/>
  <c r="J107" i="3" s="1"/>
  <c r="C296" i="3" l="1"/>
  <c r="F295" i="3"/>
  <c r="J295" i="3" s="1"/>
  <c r="C266" i="3"/>
  <c r="F265" i="3"/>
  <c r="C237" i="3"/>
  <c r="F236" i="3"/>
  <c r="C132" i="3"/>
  <c r="F131" i="3"/>
  <c r="J131" i="3" s="1"/>
  <c r="E108" i="3"/>
  <c r="G108" i="3" s="1"/>
  <c r="F108" i="3"/>
  <c r="J265" i="3" l="1"/>
  <c r="E274" i="3" s="1"/>
  <c r="D296" i="3"/>
  <c r="E296" i="3"/>
  <c r="G296" i="3" s="1"/>
  <c r="J236" i="3"/>
  <c r="E245" i="3" s="1"/>
  <c r="D266" i="3"/>
  <c r="E266" i="3"/>
  <c r="G266" i="3" s="1"/>
  <c r="D237" i="3"/>
  <c r="E237" i="3"/>
  <c r="G237" i="3" s="1"/>
  <c r="E132" i="3"/>
  <c r="G132" i="3" s="1"/>
  <c r="D132" i="3"/>
  <c r="J108" i="3"/>
  <c r="C297" i="3" l="1"/>
  <c r="F296" i="3"/>
  <c r="J296" i="3" s="1"/>
  <c r="C267" i="3"/>
  <c r="F266" i="3"/>
  <c r="C238" i="3"/>
  <c r="F237" i="3"/>
  <c r="E218" i="3"/>
  <c r="E217" i="3"/>
  <c r="E216" i="3"/>
  <c r="E214" i="3"/>
  <c r="E212" i="3"/>
  <c r="E219" i="3"/>
  <c r="E213" i="3"/>
  <c r="E215" i="3"/>
  <c r="C133" i="3"/>
  <c r="F132" i="3"/>
  <c r="J132" i="3" s="1"/>
  <c r="J266" i="3" l="1"/>
  <c r="E275" i="3" s="1"/>
  <c r="E297" i="3"/>
  <c r="G297" i="3" s="1"/>
  <c r="D297" i="3"/>
  <c r="J237" i="3"/>
  <c r="E246" i="3" s="1"/>
  <c r="E267" i="3"/>
  <c r="G267" i="3" s="1"/>
  <c r="D267" i="3"/>
  <c r="E238" i="3"/>
  <c r="G238" i="3" s="1"/>
  <c r="D238" i="3"/>
  <c r="E133" i="3"/>
  <c r="G133" i="3" s="1"/>
  <c r="D133" i="3"/>
  <c r="C298" i="3" l="1"/>
  <c r="F297" i="3"/>
  <c r="J297" i="3" s="1"/>
  <c r="C268" i="3"/>
  <c r="F267" i="3"/>
  <c r="C239" i="3"/>
  <c r="F238" i="3"/>
  <c r="C134" i="3"/>
  <c r="F133" i="3"/>
  <c r="J133" i="3" s="1"/>
  <c r="J267" i="3" l="1"/>
  <c r="E276" i="3" s="1"/>
  <c r="D298" i="3"/>
  <c r="E298" i="3"/>
  <c r="G298" i="3" s="1"/>
  <c r="J238" i="3"/>
  <c r="E247" i="3" s="1"/>
  <c r="D268" i="3"/>
  <c r="F268" i="3" s="1"/>
  <c r="E268" i="3"/>
  <c r="G268" i="3" s="1"/>
  <c r="D239" i="3"/>
  <c r="F239" i="3" s="1"/>
  <c r="E239" i="3"/>
  <c r="G239" i="3" s="1"/>
  <c r="E134" i="3"/>
  <c r="G134" i="3" s="1"/>
  <c r="D134" i="3"/>
  <c r="J239" i="3" l="1"/>
  <c r="E248" i="3" s="1"/>
  <c r="C299" i="3"/>
  <c r="F298" i="3"/>
  <c r="J298" i="3" s="1"/>
  <c r="J268" i="3"/>
  <c r="E277" i="3" s="1"/>
  <c r="F134" i="3"/>
  <c r="J134" i="3" s="1"/>
  <c r="C135" i="3"/>
  <c r="E299" i="3" l="1"/>
  <c r="G299" i="3" s="1"/>
  <c r="D299" i="3"/>
  <c r="D135" i="3"/>
  <c r="E135" i="3"/>
  <c r="G135" i="3" s="1"/>
  <c r="C792" i="3"/>
  <c r="E792" i="3" s="1"/>
  <c r="G792" i="3" s="1"/>
  <c r="D782" i="3"/>
  <c r="D788" i="3" s="1"/>
  <c r="D448" i="3"/>
  <c r="D447" i="3"/>
  <c r="D446" i="3"/>
  <c r="D445" i="3"/>
  <c r="D444" i="3"/>
  <c r="F503" i="3" l="1"/>
  <c r="F507" i="3"/>
  <c r="F502" i="3"/>
  <c r="F500" i="3"/>
  <c r="F501" i="3"/>
  <c r="F506" i="3"/>
  <c r="F505" i="3"/>
  <c r="F504" i="3"/>
  <c r="C300" i="3"/>
  <c r="F299" i="3"/>
  <c r="J299" i="3" s="1"/>
  <c r="C136" i="3"/>
  <c r="F135" i="3"/>
  <c r="J135" i="3" s="1"/>
  <c r="D792" i="3"/>
  <c r="D300" i="3" l="1"/>
  <c r="E300" i="3"/>
  <c r="G300" i="3" s="1"/>
  <c r="D136" i="3"/>
  <c r="E136" i="3"/>
  <c r="G136" i="3" s="1"/>
  <c r="F792" i="3"/>
  <c r="J792" i="3" s="1"/>
  <c r="C793" i="3"/>
  <c r="C301" i="3" l="1"/>
  <c r="F300" i="3"/>
  <c r="J300" i="3" s="1"/>
  <c r="F136" i="3"/>
  <c r="J136" i="3" s="1"/>
  <c r="C137" i="3"/>
  <c r="E793" i="3"/>
  <c r="G793" i="3" s="1"/>
  <c r="D793" i="3"/>
  <c r="E301" i="3" l="1"/>
  <c r="G301" i="3" s="1"/>
  <c r="D301" i="3"/>
  <c r="F301" i="3" s="1"/>
  <c r="J301" i="3" s="1"/>
  <c r="D137" i="3"/>
  <c r="E137" i="3"/>
  <c r="G137" i="3" s="1"/>
  <c r="F793" i="3"/>
  <c r="J793" i="3" s="1"/>
  <c r="C794" i="3"/>
  <c r="C138" i="3" l="1"/>
  <c r="F137" i="3"/>
  <c r="J137" i="3" s="1"/>
  <c r="E794" i="3"/>
  <c r="G794" i="3" s="1"/>
  <c r="D794" i="3"/>
  <c r="F794" i="3" s="1"/>
  <c r="E138" i="3" l="1"/>
  <c r="G138" i="3" s="1"/>
  <c r="D138" i="3"/>
  <c r="F138" i="3" s="1"/>
  <c r="J794" i="3"/>
  <c r="E796" i="3" s="1"/>
  <c r="J138" i="3" l="1"/>
  <c r="E443" i="3" l="1"/>
  <c r="G443" i="3" s="1"/>
  <c r="C445" i="3" l="1"/>
  <c r="D443" i="3"/>
  <c r="F443" i="3" s="1"/>
  <c r="J443" i="3" s="1"/>
  <c r="D439" i="3"/>
  <c r="D78" i="3"/>
  <c r="D83" i="3" s="1"/>
  <c r="E87" i="3"/>
  <c r="G87" i="3" s="1"/>
  <c r="D87" i="3"/>
  <c r="F87" i="3" s="1"/>
  <c r="D57" i="3"/>
  <c r="D62" i="3" s="1"/>
  <c r="E66" i="3"/>
  <c r="G66" i="3" s="1"/>
  <c r="D66" i="3"/>
  <c r="C67" i="3" s="1"/>
  <c r="J87" i="3" l="1"/>
  <c r="C444" i="3"/>
  <c r="E445" i="3"/>
  <c r="G445" i="3" s="1"/>
  <c r="C88" i="3"/>
  <c r="E67" i="3"/>
  <c r="G67" i="3" s="1"/>
  <c r="D67" i="3"/>
  <c r="F66" i="3"/>
  <c r="J66" i="3" s="1"/>
  <c r="D37" i="3"/>
  <c r="D42" i="3" s="1"/>
  <c r="E46" i="3"/>
  <c r="G46" i="3" s="1"/>
  <c r="D46" i="3"/>
  <c r="F46" i="3" s="1"/>
  <c r="D23" i="3"/>
  <c r="D28" i="3" s="1"/>
  <c r="E32" i="3"/>
  <c r="G32" i="3" s="1"/>
  <c r="D32" i="3"/>
  <c r="F32" i="3" s="1"/>
  <c r="E12" i="3"/>
  <c r="G12" i="3" s="1"/>
  <c r="D12" i="3"/>
  <c r="C13" i="3" s="1"/>
  <c r="D3" i="3"/>
  <c r="D8" i="3" s="1"/>
  <c r="J32" i="3" l="1"/>
  <c r="J46" i="3"/>
  <c r="F12" i="3"/>
  <c r="E13" i="3"/>
  <c r="G13" i="3" s="1"/>
  <c r="D13" i="3"/>
  <c r="J12" i="3"/>
  <c r="C446" i="3"/>
  <c r="F445" i="3"/>
  <c r="J445" i="3" s="1"/>
  <c r="F444" i="3"/>
  <c r="E444" i="3"/>
  <c r="G444" i="3" s="1"/>
  <c r="E88" i="3"/>
  <c r="G88" i="3" s="1"/>
  <c r="D88" i="3"/>
  <c r="F67" i="3"/>
  <c r="J67" i="3" s="1"/>
  <c r="C68" i="3"/>
  <c r="C47" i="3"/>
  <c r="J444" i="3" l="1"/>
  <c r="E446" i="3"/>
  <c r="G446" i="3" s="1"/>
  <c r="F13" i="3"/>
  <c r="J13" i="3" s="1"/>
  <c r="C14" i="3"/>
  <c r="F88" i="3"/>
  <c r="J88" i="3" s="1"/>
  <c r="C89" i="3"/>
  <c r="D68" i="3"/>
  <c r="E68" i="3"/>
  <c r="G68" i="3" s="1"/>
  <c r="E47" i="3"/>
  <c r="G47" i="3" s="1"/>
  <c r="D47" i="3"/>
  <c r="E14" i="3" l="1"/>
  <c r="G14" i="3" s="1"/>
  <c r="D14" i="3"/>
  <c r="C447" i="3"/>
  <c r="F446" i="3"/>
  <c r="J446" i="3" s="1"/>
  <c r="E89" i="3"/>
  <c r="G89" i="3" s="1"/>
  <c r="D89" i="3"/>
  <c r="F89" i="3" s="1"/>
  <c r="C69" i="3"/>
  <c r="F68" i="3"/>
  <c r="J68" i="3" s="1"/>
  <c r="C48" i="3"/>
  <c r="F47" i="3"/>
  <c r="J47" i="3" s="1"/>
  <c r="J89" i="3" l="1"/>
  <c r="D91" i="3" s="1"/>
  <c r="C448" i="3"/>
  <c r="E447" i="3"/>
  <c r="G447" i="3" s="1"/>
  <c r="F14" i="3"/>
  <c r="J14" i="3" s="1"/>
  <c r="C15" i="3"/>
  <c r="E69" i="3"/>
  <c r="G69" i="3" s="1"/>
  <c r="D69" i="3"/>
  <c r="E48" i="3"/>
  <c r="G48" i="3" s="1"/>
  <c r="D48" i="3"/>
  <c r="F448" i="3" l="1"/>
  <c r="E448" i="3"/>
  <c r="G448" i="3" s="1"/>
  <c r="F447" i="3"/>
  <c r="J447" i="3" s="1"/>
  <c r="D15" i="3"/>
  <c r="E15" i="3"/>
  <c r="G15" i="3" s="1"/>
  <c r="F69" i="3"/>
  <c r="J69" i="3" s="1"/>
  <c r="C70" i="3"/>
  <c r="F48" i="3"/>
  <c r="J48" i="3" s="1"/>
  <c r="C49" i="3"/>
  <c r="J448" i="3" l="1"/>
  <c r="D450" i="3" s="1"/>
  <c r="F15" i="3"/>
  <c r="J15" i="3" s="1"/>
  <c r="C16" i="3"/>
  <c r="E70" i="3"/>
  <c r="G70" i="3" s="1"/>
  <c r="D70" i="3"/>
  <c r="E49" i="3"/>
  <c r="G49" i="3" s="1"/>
  <c r="D49" i="3"/>
  <c r="D16" i="3" l="1"/>
  <c r="E16" i="3"/>
  <c r="G16" i="3" s="1"/>
  <c r="C71" i="3"/>
  <c r="F70" i="3"/>
  <c r="J70" i="3" s="1"/>
  <c r="F49" i="3"/>
  <c r="J49" i="3" s="1"/>
  <c r="C50" i="3"/>
  <c r="C17" i="3" l="1"/>
  <c r="F16" i="3"/>
  <c r="J16" i="3" s="1"/>
  <c r="E71" i="3"/>
  <c r="G71" i="3" s="1"/>
  <c r="D71" i="3"/>
  <c r="E50" i="3"/>
  <c r="G50" i="3" s="1"/>
  <c r="D50" i="3"/>
  <c r="D17" i="3" l="1"/>
  <c r="E17" i="3"/>
  <c r="G17" i="3" s="1"/>
  <c r="F71" i="3"/>
  <c r="J71" i="3" s="1"/>
  <c r="C72" i="3"/>
  <c r="F50" i="3"/>
  <c r="J50" i="3" s="1"/>
  <c r="C51" i="3"/>
  <c r="F17" i="3" l="1"/>
  <c r="J17" i="3" s="1"/>
  <c r="C18" i="3"/>
  <c r="E72" i="3"/>
  <c r="G72" i="3" s="1"/>
  <c r="D72" i="3"/>
  <c r="E51" i="3"/>
  <c r="G51" i="3" s="1"/>
  <c r="D51" i="3"/>
  <c r="F430" i="3" l="1"/>
  <c r="F424" i="3"/>
  <c r="F420" i="3"/>
  <c r="F429" i="3"/>
  <c r="F425" i="3"/>
  <c r="F421" i="3"/>
  <c r="F428" i="3"/>
  <c r="F426" i="3"/>
  <c r="F427" i="3"/>
  <c r="F423" i="3"/>
  <c r="F419" i="3"/>
  <c r="F422" i="3"/>
  <c r="F72" i="3"/>
  <c r="J72" i="3" s="1"/>
  <c r="C73" i="3"/>
  <c r="E18" i="3"/>
  <c r="G18" i="3" s="1"/>
  <c r="D18" i="3"/>
  <c r="F51" i="3"/>
  <c r="J51" i="3" s="1"/>
  <c r="C52" i="3"/>
  <c r="D73" i="3" l="1"/>
  <c r="F73" i="3" s="1"/>
  <c r="E73" i="3"/>
  <c r="G73" i="3" s="1"/>
  <c r="C19" i="3"/>
  <c r="F18" i="3"/>
  <c r="J18" i="3" s="1"/>
  <c r="D52" i="3"/>
  <c r="E52" i="3"/>
  <c r="G52" i="3" s="1"/>
  <c r="J73" i="3" l="1"/>
  <c r="D75" i="3" s="1"/>
  <c r="E19" i="3"/>
  <c r="G19" i="3" s="1"/>
  <c r="D19" i="3"/>
  <c r="F19" i="3" s="1"/>
  <c r="F52" i="3"/>
  <c r="J52" i="3" s="1"/>
  <c r="D54" i="3" s="1"/>
  <c r="J19" i="3" l="1"/>
  <c r="D20" i="3" s="1"/>
</calcChain>
</file>

<file path=xl/sharedStrings.xml><?xml version="1.0" encoding="utf-8"?>
<sst xmlns="http://schemas.openxmlformats.org/spreadsheetml/2006/main" count="2301" uniqueCount="337">
  <si>
    <t>Sr</t>
  </si>
  <si>
    <t>Question</t>
  </si>
  <si>
    <t>I put Rs. 1,00,000 in an FD starting 1st April 2025 for 2 years, regular citizen, quarterly interest payout. Give me the complete interest schedule for all 8 quarters.</t>
  </si>
  <si>
    <t>Mera FD 75,000 ka hai, 15 March 2025 se shuru, 1 saal ke liye, senior citizen, quarterly. Pehle quarter mein kitna milega?</t>
  </si>
  <si>
    <t>FD of Rs. 2,00,000 booked 1 Jan 2024, 3 year tenure, regular citizen, quarterly payout. How much will I pocket in the 7th instalment?</t>
  </si>
  <si>
    <t>Deposited 3 lakhs on 10 Nov 2024 for 2 years, quarterly interest, senior citizen. What will I receive in the very last quarterly payout?</t>
  </si>
  <si>
    <t>I opened a fixed deposit of Rs. 1,50,000 on 1st December 2023, 3-year term, regular citizen, quarterly payout. How much is Q3?</t>
  </si>
  <si>
    <t>Booked Rs. 80,000 FD on 1 July 2025 for 400 days, senior citizen, quarterly interest. Give me the complete payout schedule including the stub period.</t>
  </si>
  <si>
    <t>As an NRI senior citizen I wish to park Rs. 5,50,00,000 for 3 years from 1 Feb 2025 with quarterly interest. What will each quarterly cheque be?</t>
  </si>
  <si>
    <t>yaar mera 50k fd hai 23 sep 2024 se, 2 saal, senior, quarterly wala. first quarter mein paisa kitna aayega bhai?</t>
  </si>
  <si>
    <t>I booked Rs. 1,00,000 FD on 31st January 2025, regular citizen, 1 year, quarterly payout. What are all quarterly credit dates and amounts?</t>
  </si>
  <si>
    <t>Fixed deposit of Rs. 2,00,000 booked on 30 November 2024, 2 years, senior citizen, quarterly payouts. List all 8 credit amounts with dates.</t>
  </si>
  <si>
    <t>I want to invest Rs. 2,99,00,000 from 1st March 2025 for 2 years, regular citizen, quarterly payout. How much interest per quarter?</t>
  </si>
  <si>
    <t>I'm putting Rs. 1,25,000 in an FD for 8 quarters starting 15 Jan 2025. I'm a senior citizen. How much quarterly interest per period?</t>
  </si>
  <si>
    <t>FD Rs. 3,00,000 booked on 23 Sep 2024, 3 years, senior citizen, quarterly payout. Why is Q2 interest different from Q5 even though days look the same?</t>
  </si>
  <si>
    <t>I plan to open an FD of Rs. 50,000 for exactly 91 days starting 1 June 2025, regular citizen, quarterly interest. What will I receive?</t>
  </si>
  <si>
    <t>Rs. 4,00,00,000 FD on 1 Apr 2024, 5 years, senior citizen NRI, quarterly payout. What is the first quarter interest?</t>
  </si>
  <si>
    <t>FD 100000 INR, start date 03/15/2025, 2 years, regular citizen, quarterly interest payout. How much in first quarter?</t>
  </si>
  <si>
    <t>I would like to understand the interest that will be deposited into my savings account at the conclusion of the very first three-month interval for my fixed deposit of rupees two lakh fifty thousand commencing the first day of May two thousand and twenty five for eighteen months I am a regular taxpaying citizen of India.</t>
  </si>
  <si>
    <t>FD of Rs. 1,00,000 on 23 Sep 2024, 3 years, senior citizen, quarterly payout. How much will I get in Q11 and Q12?</t>
  </si>
  <si>
    <t>Booked Rs. 5,00,000 FD on 1 March 2025 for 1 year, senior citizen, monthly interest payout. List all 12 monthly credits with amounts.</t>
  </si>
  <si>
    <t>I put Rs. 2,00,000 in a monthly payout FD on 31st October 2024 for 6 months, regular citizen. What are my 6 monthly payout dates and amounts?</t>
  </si>
  <si>
    <t>FD of Rs. 1,00,000 on 29th February 2024, 1 year, regular citizen, monthly payout. How much interest will I receive in the 12th month?</t>
  </si>
  <si>
    <t>I am an NRI senior citizen. I deposited Rs. 3,00,000 on 30 Nov 2023 for 9 months with monthly interest. Give me the full monthly schedule.</t>
  </si>
  <si>
    <t>FD Rs. 1,50,000 booked on 5 June 2025, 18 months, regular citizen, monthly payout. How much will I receive in month 6?</t>
  </si>
  <si>
    <t>50k FD, 15 aug 2025, 6 months, monthly milta hai, regular citizen. har month kitna aata hai?</t>
  </si>
  <si>
    <t>I'm investing Rs. 3,50,00,000 on 1 Jan 2025 for 2 years, monthly interest payout, senior citizen. How much is credited each month?</t>
  </si>
  <si>
    <t>Opened an FD of Rs. 75,000 on 20 June 2025 for 400 days, regular citizen, monthly interest payout. How many monthly payouts will I receive and what is total interest?</t>
  </si>
  <si>
    <t>Placed Rs. 2,25,000 in a 2-year monthly interest FD on 14th Feb 2025. I am a senior citizen. What will my very first monthly credit be?</t>
  </si>
  <si>
    <t>FD Rs. 1,00,000, start 1 Apr 2025, 1 year, regular citizen, monthly payout. How much will I get in the very last monthly payout?</t>
  </si>
  <si>
    <t>I booked Rs. 3,00,000 FD on 1 January 2025 for 2 years, senior citizen, half yearly payout. What is the complete payout schedule with dates and amounts?</t>
  </si>
  <si>
    <t>FD of Rs. 2,00,000 started on 31st August 2024 for 18 months, regular citizen, interest paid every 6 months. List all payouts with dates.</t>
  </si>
  <si>
    <t>Invest Rs. 4,00,000 on 15 March 2025 for 3 years, regular citizen, biannual interest payout. How much each payout?</t>
  </si>
  <si>
    <t>I am an NRI senior citizen. I deposited Rs. 1,00,00,000 on 1 July 2024 for 5 years, interest every six months. How much in the first half-year payout?</t>
  </si>
  <si>
    <t>FD Rs. 5,00,000 on 1 Oct 2024, 3 years, senior citizen, half yearly payout. What do I receive in my 3rd half-yearly credit?</t>
  </si>
  <si>
    <t>Booked Rs. 1,25,000 FD on 1 June 2025 for 400 days, regular citizen, half yearly interest. Give me the complete schedule.</t>
  </si>
  <si>
    <t>I wish to put Rs. 1,00,000 in a cumulative FD for 2 years starting 1st April 2025. I am a regular citizen. What will I receive at maturity?</t>
  </si>
  <si>
    <t>If I open an FD of Rs. 2,00,000 on 29 February 2024 for 3 years as a regular citizen, cumulative, what is the maturity amount and date?</t>
  </si>
  <si>
    <t>Booked Rs. 75,000 FD on 31st January 2025, 1 year, senior citizen, cumulative. What is the maturity amount?</t>
  </si>
  <si>
    <t>I deposited Rs. 5,00,000 on 15 May 2025 for 18 months, regular citizen, cumulative FD. What is the maturity value?</t>
  </si>
  <si>
    <t>Opening a Rs. 3,00,000 FD for 4 quarters from 1 Feb 2025, regular citizen, cumulative. How much at the end?</t>
  </si>
  <si>
    <t>Rs. 10,00,000 FD on 1 March 2024 for 5 years, senior citizen NRI, cumulative. Maturity amount?</t>
  </si>
  <si>
    <t>I want to park Rs. 5,00,00,000 in a 3 year cumulative FD from 1 January 2025. I am a senior citizen, non-NRI. What will I receive at maturity?</t>
  </si>
  <si>
    <t>How much will my Rs. 2,50,000 grow if I book a cumulative FD on 1 Jun 2025 for 2 years as a regular citizen?</t>
  </si>
  <si>
    <t>I'm a senior citizen and I want to put Rs. 1,00,000 in a fixed deposit for 5 years starting 1 Apr 2025. How much extra will I earn on top of my principal?</t>
  </si>
  <si>
    <t>As an NRI I want to invest Rs. 3,50,00,000 in a 2-year cumulative FD from 1 March 2025. I am not a senior citizen. What is the maturity amount?</t>
  </si>
  <si>
    <t>I booked Rs. 1,00,000 FD on 1 Jan 2024 for 2 years. I closed it on exactly 1 Jan 2026. Regular citizen. How much do I get?</t>
  </si>
  <si>
    <t>I had a Rs. 2,00,000 FD from 1 March 2023 for 2 years. I closed it on 28 February 2025 (one day early), regular citizen. What is my settlement?</t>
  </si>
  <si>
    <t>I booked a Rs. 5,00,000 quarterly payout FD on 1 Jan 2024 for 3 years, senior citizen. I broke it on 1 July 2025 having already received 6 quarterly credits. What is my final settlement?</t>
  </si>
  <si>
    <t>I wish to liquidate my FD of Rs. 3,00,000 opened on 15 June 2024 for 3 years, senior citizen, cumulative. Closing date is 20 December 2024. How much will I get?</t>
  </si>
  <si>
    <t>I need to encash my FD prematurely. Booked Rs. 1,50,000 on 10 Feb 2025 for 2 years, regular citizen, cumulative. Encashing on 1 Sep 2025. Settlement?</t>
  </si>
  <si>
    <t>Booked Rs. 4,00,000 half-yearly payout FD on 1 Oct 2023 for 3 years, regular citizen. Closed on 15 April 2025 after receiving 3 half-yearly payouts. What is my settlement?</t>
  </si>
  <si>
    <t>I booked Rs. 50,000 FD on 1 March 2025 for 1 year, regular citizen. I want to close it on 5 March 2025 (4 days later). What will I get?</t>
  </si>
  <si>
    <t>I am an NRI senior citizen. I put Rs. 5,00,00,000 in a 3-year FD from 1 Jan 2024. I need to break it on 30 June 2025. What is my settlement?</t>
  </si>
  <si>
    <t>I had a Rs. 2,00,000 monthly payout FD starting 1 Apr 2024 for 2 years, regular citizen. I closed it on 1 Oct 2024 having received 6 monthly payouts. Final settlement?</t>
  </si>
  <si>
    <t>I surrendered my FD today (1 May 2025). Booked Rs. 80,000 on 1 November 2024 for 18 months, senior citizen, cumulative. What proceeds do I receive?</t>
  </si>
  <si>
    <t>I received only Rs. 1,596 at the end of Q1 for my Rs. 1,00,000 FD booked on 23 Sep 2024 for 3 years, senior citizen, quarterly. Why?</t>
  </si>
  <si>
    <t>My FD is Rs. 2,00,000, booked 1 Jan 2025, 2 years, senior citizen, quarterly. I submitted Form 15H. I received Rs. 3,493 this quarter. Is that correct?</t>
  </si>
  <si>
    <t>I expected Rs. 2,200 per quarter on my Rs. 1,00,000 FD booked 1 April 2025 for 3 years, regular citizen, quarterly. But I got only Rs. 1,740. What went wrong?</t>
  </si>
  <si>
    <t>Why did I receive only Rs. 3,143 instead of Rs. 3,493 on my Rs. 2,00,000 FD from 1 Jan 2025, 2 years, senior citizen quarterly?</t>
  </si>
  <si>
    <t>I opened an FD of Rs. 3,00,000 on 15 Jan 2025 for 2 years, regular citizen, quarterly. I got Rs. 2,800 in first quarter. Is this correct?</t>
  </si>
  <si>
    <t>I am a senior citizen. For what tenure will I earn the maximum interest rate on my FD?</t>
  </si>
  <si>
    <t>I have Rs. 5 lakhs to invest. Should I book a 2-year or 3-year cumulative FD as a regular citizen? Which gives more total interest?</t>
  </si>
  <si>
    <t>Is there any difference in FD interest rates for NRI and non-NRI customers for amounts below 3 crore?</t>
  </si>
  <si>
    <t>What is the current interest rate for a 400-day FD for a regular citizen with amount less than 3 crore?</t>
  </si>
  <si>
    <t>I have Rs. 3,20,00,000 to invest for 2 years. As a regular citizen, what rate would I get and how does it compare to the sub-3-crore rate?</t>
  </si>
  <si>
    <t>I booked Rs. 1,00,000 FD on 1 April 2025 for exactly 365 days, senior citizen, quarterly payout. Which rate bracket applies – '185 days to &lt;1yr' or '1yr to &lt;2yr'?</t>
  </si>
  <si>
    <t>Rs. 2,00,000 FD on 1 Jan 2025 for exactly 730 days, regular citizen, cumulative. Maturity amount?</t>
  </si>
  <si>
    <t>I booked Rs. 5,00,000 on 30 November 2023 for 9 months, regular citizen, monthly payout. On which exact date do I receive my last monthly credit?</t>
  </si>
  <si>
    <t>FD Rs. 1,00,000 booked on 29 Feb 2024 for 1 year, regular citizen, quarterly payout. What is the exact maturity date and Q1 interest?</t>
  </si>
  <si>
    <t>I opened Rs. 75,000 FD on 31st March 2025 for 6 months, senior citizen, monthly payout. Give exact maturity date and full monthly schedule.</t>
  </si>
  <si>
    <t>Rs. 1,00,000 FD on 1 Jan 2025 for 184 days, regular citizen, quarterly payout. Which rate bracket applies and how much first-quarter interest?</t>
  </si>
  <si>
    <t>Rs. 1,00,000 FD on 1 Jan 2025 for 185 days, regular citizen, cumulative. What is the maturity amount?</t>
  </si>
  <si>
    <t>I want to book an FD of exactly Rs. 3,00,00,000 on 1 Feb 2025 for 2 years, regular citizen, cumulative. What rate applies – retail or bulk?</t>
  </si>
  <si>
    <t>I have 2 lakh rupees to put in an FD starting 1 Jan 2025. I am a senior citizen, cumulative. How much will I get at maturity?</t>
  </si>
  <si>
    <t>I have an FD of Rs. 1,00,000 for 2 years, regular citizen, quarterly payout. How much per quarter?</t>
  </si>
  <si>
    <t>I booked an FD on 1 Jan 2025 for 3 years, senior citizen, cumulative. What will I get at maturity?</t>
  </si>
  <si>
    <t>What will be my FD interest for Rs. 2,00,000 booked on 15 Feb 2025 for 1 year, regular citizen?</t>
  </si>
  <si>
    <t>What is the weather in Mumbai today?</t>
  </si>
  <si>
    <t>i boookd an fd of 1,oo,ooo on 23 sep 2o24 4 3 yers senoir citizn quartly. hw mch?</t>
  </si>
  <si>
    <t>I booked Rs. 1,00,000 FD on 1 Jan 2025 for 2 years; maturity date is 31 Dec 2026. Regular citizen, cumulative. Maturity amount?</t>
  </si>
  <si>
    <t>I plan to book Rs. 2,00,000 FD on 1 January 2028 for 2 years, regular citizen, cumulative. What will be my maturity amount?</t>
  </si>
  <si>
    <t>Start Date</t>
  </si>
  <si>
    <t>End Date</t>
  </si>
  <si>
    <t>Regular</t>
  </si>
  <si>
    <t>Non NRI</t>
  </si>
  <si>
    <t>Senior</t>
  </si>
  <si>
    <t>NRI</t>
  </si>
  <si>
    <t>Answer</t>
  </si>
  <si>
    <t>Citizenship</t>
  </si>
  <si>
    <t>Status</t>
  </si>
  <si>
    <t>Principal</t>
  </si>
  <si>
    <t>Interest Rate</t>
  </si>
  <si>
    <t>Duration(Days)</t>
  </si>
  <si>
    <t>Duration (in years)</t>
  </si>
  <si>
    <t>Start date</t>
  </si>
  <si>
    <t>end date</t>
  </si>
  <si>
    <t>year end date</t>
  </si>
  <si>
    <t>Days</t>
  </si>
  <si>
    <t>Rolling days</t>
  </si>
  <si>
    <t>Payout 1</t>
  </si>
  <si>
    <t>Payout 2</t>
  </si>
  <si>
    <t>Payout 3</t>
  </si>
  <si>
    <t>Payout 4</t>
  </si>
  <si>
    <t>Payout 5</t>
  </si>
  <si>
    <t>Payout 6</t>
  </si>
  <si>
    <t>Payout 7</t>
  </si>
  <si>
    <t>Payout 8</t>
  </si>
  <si>
    <t>Amount in 1st Qtr</t>
  </si>
  <si>
    <t>Last Qtr payout</t>
  </si>
  <si>
    <t>Amount in Q3</t>
  </si>
  <si>
    <t xml:space="preserve"> </t>
  </si>
  <si>
    <t>Premature STOP date</t>
  </si>
  <si>
    <t xml:space="preserve">Effective duration </t>
  </si>
  <si>
    <t>Rate for premature</t>
  </si>
  <si>
    <t>Penalty</t>
  </si>
  <si>
    <t xml:space="preserve">Effective rate </t>
  </si>
  <si>
    <t>Actual payment</t>
  </si>
  <si>
    <t>After a year</t>
  </si>
  <si>
    <t>Rolling year</t>
  </si>
  <si>
    <t>Actual Payment</t>
  </si>
  <si>
    <t>Half-Yearly</t>
  </si>
  <si>
    <t>Payout</t>
  </si>
  <si>
    <t>Settlement Amount</t>
  </si>
  <si>
    <t xml:space="preserve">Payout </t>
  </si>
  <si>
    <t>Quarterly</t>
  </si>
  <si>
    <t>CORNER CASE</t>
  </si>
  <si>
    <t>Monthly</t>
  </si>
  <si>
    <t>Final settlement</t>
  </si>
  <si>
    <t>Final Settlement</t>
  </si>
  <si>
    <t xml:space="preserve">Total interest </t>
  </si>
  <si>
    <t>committed rate table</t>
  </si>
  <si>
    <t>payout 2</t>
  </si>
  <si>
    <t>Payout Type</t>
  </si>
  <si>
    <t>Payout 9</t>
  </si>
  <si>
    <t>Payout 10</t>
  </si>
  <si>
    <t>Payout 11</t>
  </si>
  <si>
    <t>Payout 12</t>
  </si>
  <si>
    <t>Amount received in 3rd Half-Year</t>
  </si>
  <si>
    <t>Total Interest on Maturity</t>
  </si>
  <si>
    <t>-</t>
  </si>
  <si>
    <t xml:space="preserve">Each Qtrly cheque is </t>
  </si>
  <si>
    <t>1st Qtr payout</t>
  </si>
  <si>
    <t>Credit date</t>
  </si>
  <si>
    <t>Amount credited</t>
  </si>
  <si>
    <t>Date</t>
  </si>
  <si>
    <t>Credit amount</t>
  </si>
  <si>
    <t>Payment per Qtr</t>
  </si>
  <si>
    <t>Quarter 1</t>
  </si>
  <si>
    <t>Quarter 2</t>
  </si>
  <si>
    <t>Quarter 3</t>
  </si>
  <si>
    <t>Quarter 4</t>
  </si>
  <si>
    <t>Quarter 5</t>
  </si>
  <si>
    <t>Quarter 6</t>
  </si>
  <si>
    <t>Quarter 7</t>
  </si>
  <si>
    <t>Quarter 8</t>
  </si>
  <si>
    <t>Qtrly payments</t>
  </si>
  <si>
    <t>Q1</t>
  </si>
  <si>
    <t>Q2</t>
  </si>
  <si>
    <t>Q3</t>
  </si>
  <si>
    <t>Q4</t>
  </si>
  <si>
    <t>Q5</t>
  </si>
  <si>
    <t>Q6</t>
  </si>
  <si>
    <t>Q7</t>
  </si>
  <si>
    <t>Q8</t>
  </si>
  <si>
    <t xml:space="preserve">There is difference in the number of days in the Quarter for Q2 and Q5 </t>
  </si>
  <si>
    <t>Amount received</t>
  </si>
  <si>
    <t>first quarter interest</t>
  </si>
  <si>
    <t xml:space="preserve">Regular </t>
  </si>
  <si>
    <t xml:space="preserve">Payments in </t>
  </si>
  <si>
    <t>Q11</t>
  </si>
  <si>
    <t>Q12</t>
  </si>
  <si>
    <t>Full Payment Schedule</t>
  </si>
  <si>
    <t>Month 1</t>
  </si>
  <si>
    <t>Month 2</t>
  </si>
  <si>
    <t>Month 3</t>
  </si>
  <si>
    <t>Month 4</t>
  </si>
  <si>
    <t>Month 5</t>
  </si>
  <si>
    <t>Month 6</t>
  </si>
  <si>
    <t>Month 7</t>
  </si>
  <si>
    <t>Month 8</t>
  </si>
  <si>
    <t>Month 9</t>
  </si>
  <si>
    <t>Month 10</t>
  </si>
  <si>
    <t>Month 11</t>
  </si>
  <si>
    <t>Month 12</t>
  </si>
  <si>
    <t>12th month Payment</t>
  </si>
  <si>
    <t>Full schedule</t>
  </si>
  <si>
    <t>Payment received in 6 months</t>
  </si>
  <si>
    <t>Monthly payments</t>
  </si>
  <si>
    <t>Payout 13</t>
  </si>
  <si>
    <t>Payout 14</t>
  </si>
  <si>
    <t>Payout 15</t>
  </si>
  <si>
    <t>Payout 16</t>
  </si>
  <si>
    <t>Payout 17</t>
  </si>
  <si>
    <t>Payout 18</t>
  </si>
  <si>
    <t>Payout 19</t>
  </si>
  <si>
    <t>Payout 20</t>
  </si>
  <si>
    <t>Payout 21</t>
  </si>
  <si>
    <t>Payout 22</t>
  </si>
  <si>
    <t>Payout 23</t>
  </si>
  <si>
    <t>Payout 24</t>
  </si>
  <si>
    <t xml:space="preserve">Full payment schedule is </t>
  </si>
  <si>
    <t>Total number of payouts</t>
  </si>
  <si>
    <t>Total Interest Received</t>
  </si>
  <si>
    <t>1st month credit</t>
  </si>
  <si>
    <t>last month Payment</t>
  </si>
  <si>
    <t>Payout Date</t>
  </si>
  <si>
    <t>Payment Amount</t>
  </si>
  <si>
    <t>Payout date</t>
  </si>
  <si>
    <t>First half-Yearly Payout</t>
  </si>
  <si>
    <t>Payment Schedule</t>
  </si>
  <si>
    <t>Cummulative Qtrly</t>
  </si>
  <si>
    <t>(1+R/4)^4*T</t>
  </si>
  <si>
    <t>Maturity Amount</t>
  </si>
  <si>
    <t xml:space="preserve">Interest Earned </t>
  </si>
  <si>
    <t>Amount received at Maturity</t>
  </si>
  <si>
    <t>Payment Date</t>
  </si>
  <si>
    <t>Maturity Value</t>
  </si>
  <si>
    <t>Maturity Amount at end</t>
  </si>
  <si>
    <t>Amount at Maturity</t>
  </si>
  <si>
    <t>Maturity amount</t>
  </si>
  <si>
    <t>Extra earned</t>
  </si>
  <si>
    <t>Money Received</t>
  </si>
  <si>
    <t xml:space="preserve">(1+r/4)^4*T </t>
  </si>
  <si>
    <t>Settlement amount</t>
  </si>
  <si>
    <t>Settlement</t>
  </si>
  <si>
    <t>As period is &lt;7 days so no interest will be earned</t>
  </si>
  <si>
    <t xml:space="preserve">(1+R/4)^4*T </t>
  </si>
  <si>
    <t>Gross Interest:</t>
  </si>
  <si>
    <t>After 0%  TDS (Form 15H/15G)</t>
  </si>
  <si>
    <t>After 5%  TDS:</t>
  </si>
  <si>
    <t>After 10% TDS (PAN): </t>
  </si>
  <si>
    <t>After 20% TDS (no PAN):</t>
  </si>
  <si>
    <t>TDS was deducted at 20% as PAN may not be linked. Please link your PAN with the bank to reduce TDS to 10%</t>
  </si>
  <si>
    <t>Nearest is Rs.3490 after 5% deduction of TDS</t>
  </si>
  <si>
    <t>No,the received Amount is not correct</t>
  </si>
  <si>
    <t>Interest earned in 2 years is Rs. 73,876 and for 3 years is Rs. 1,12,098 so 3 years gives  more interest</t>
  </si>
  <si>
    <t xml:space="preserve">There is difference of approx. 0.2%  in interest rates </t>
  </si>
  <si>
    <t>You will get 6.2% to 7.8% interest for amount &gt;=3CR and ypu can get 6.45% to 7.95% for amount&lt;3CR</t>
  </si>
  <si>
    <t xml:space="preserve"> '1yr to &lt;2yr'  racket will apply</t>
  </si>
  <si>
    <t>Last Monthly Credit</t>
  </si>
  <si>
    <t>Q1 Interest</t>
  </si>
  <si>
    <t>Monthly Schedule</t>
  </si>
  <si>
    <t>Maturity Date</t>
  </si>
  <si>
    <t>Rate</t>
  </si>
  <si>
    <t>Bulk Rate will be applied</t>
  </si>
  <si>
    <t>Please mention the tenure</t>
  </si>
  <si>
    <t>Please mention the start date of the FD</t>
  </si>
  <si>
    <t>Please mention the principal for the FD</t>
  </si>
  <si>
    <t>N/A</t>
  </si>
  <si>
    <t xml:space="preserve">Complete payment schedule is </t>
  </si>
  <si>
    <t>| Customer Type | NRI Status | Deposit Amount | Best Tenure | Rate |
|---------------|------------|----------------|-------------|------|
| Senior        | NRI        | &lt;3CR           | 444-444 days | 7.3  |
| Senior        | NRI        | &gt;=3CR          | 444-444 days | 7.15 |
| Senior        | Non NRI    | &lt;3CR           | 444-444 days | 7.1  |
| Senior        | Non NRI    | &gt;=3CR          | 444-444 days | 6.85 |
The highest interest rate of 7.3% is offered to Senior NRI customers with deposits less than 3CR for a tenure of 444-444 days.</t>
  </si>
  <si>
    <t>The best tenure is 365-729 days at 6.25% for a regular citizen with amount less than 3 crore.</t>
  </si>
  <si>
    <t>How much interest income I'll get in the first quarter of booking FD on 23Sep2024? FD booking amount 1,00,000, tenure 3 years.I am a senior citizen</t>
  </si>
  <si>
    <t>Interest Income in 1st Qtr</t>
  </si>
  <si>
    <t>Booked FD on 23Sep2024. FD booking amount 1,00,000, tenure 3 years.I am a senior citizen. Howmuch interest income I will earn till maturity?It's quarterly intrest payout fd.</t>
  </si>
  <si>
    <t>Interest Income at Maturity</t>
  </si>
  <si>
    <t>Why did I receive only 1795 at the end of first quarter for my FD booked of 1lac on 23Sep2024 for 3 years tenure, interest payout quarterly.I am a senior citizen.</t>
  </si>
  <si>
    <t xml:space="preserve">You reciieved 1795 after 10% deduction of TDS </t>
  </si>
  <si>
    <t>I booked an FD of ₹2,50,000 on 5th January 2025 for 18 months. I am a normal citizen. How much 1st quarterly interest will I receive?</t>
  </si>
  <si>
    <t>Interest Received in 1st Qtr</t>
  </si>
  <si>
    <t>FD booked ₹50,000 on 20 June 2025 for 400 days, senior citizen. Interest payout quarterly. How much will I get each quarter?</t>
  </si>
  <si>
    <t>Amount received on each Qtr</t>
  </si>
  <si>
    <t>FD ₹3,00,000 booked on 10 October 2024 for 5 years, senior citizen, quarterly payout. How much interest in first quarter?</t>
  </si>
  <si>
    <t>I booked a ₹2,00,000 FD on 15 October 2024 for 2 years as a senior citizen with quarterly payout. I received only ₹3,125 this quarter. Why did I get less interest on 15Jan2025?</t>
  </si>
  <si>
    <t>You Received 3125 after 20% TDS deduction due to PAN not submitted to bank</t>
  </si>
  <si>
    <t>FD ₹1,50,000 booked on 28 Oct 2024 for 3 years, senior citizen, cumulative quarterly. How much will I receive at maturity?</t>
  </si>
  <si>
    <t>FD ₹2,00,000 booked on 5 June 2025 for 5 years, regular citizen, cumulative quarterly. What is the maturity amount and interest earned?</t>
  </si>
  <si>
    <t>If I book  an FD of ₹1,00,000 on 16th  April 2025 for 244 days, senior citizen , I am NRI. Interest  is payed out  quarterly. How much will I get  on 3rd Quarter?</t>
  </si>
  <si>
    <t>Amount in 3rd Qtr</t>
  </si>
  <si>
    <t>If I book FD of Rs. 5 Cr on 19th Feb 2024 for 2 years, How much interest will I get?I am Senior citizen NRI.</t>
  </si>
  <si>
    <t>I booked FD for Rs. 1,00,000 on 4th of July 2024 for 3 years quarterly payout , I received Rs. 1512,Why did I receive less on 4th October 2024 ?</t>
  </si>
  <si>
    <t>You received 1512 after 20% TDS deduction as PAN not submitted to bank</t>
  </si>
  <si>
    <t>I booked an FD of Rs. 5,00,000 on 30th November 2023 for 9 months. How much will I receive monthly ? I am a senior citizen.</t>
  </si>
  <si>
    <t>I booked FD of Rs.2,00,000 on 10th January 2025 for 4 Quarters .How much will I receive on Maturity?</t>
  </si>
  <si>
    <t>I am a senior citizen. I booked a ₹3,00,000 FD with a Quarterly Interest Payout option on March 25, 2024, for a 5-year tenure. However, I closed the FD on November 20, 2024. How much will be the final settlement amount paid to me, considering I have already received two quarterly interest payments?</t>
  </si>
  <si>
    <t>FD booked of amt 120,000 on 1jan 2023 for 2 years quarterly interest paying fd closed on 1 jan 2025. howmuch will be settlement?</t>
  </si>
  <si>
    <t>FD booked of amt 224,000 on 1jan 2023 for 2 years half yearly interest paying fd. howmuch half yearly interest i'll get for each half year?</t>
  </si>
  <si>
    <t>booked an fd of 1,24,565 on 23 dec 2025 for 1 year, breaking today. howmuch will be proceedings.</t>
  </si>
  <si>
    <t>what is the tenure for which senior citizens get the best interest rate?</t>
  </si>
  <si>
    <t>I broke my ₹3,50,000 FD on 5 July 2024, which I had booked a quarterly interest paying FD on 30 Nov 2023 for 2 years. The maturity amount seems less than what I expected. Can you explain why?</t>
  </si>
  <si>
    <t>Final settlement amount is less because of Pre-Mature Withdrawal</t>
  </si>
  <si>
    <t>How much interest income I'll get in the 8th ans 6th quarter of booking FD on 12Feb2024? FD booking amount 1,00,000, tenure 3 years.I am a senior citizen</t>
  </si>
  <si>
    <t>Q6 Payout</t>
  </si>
  <si>
    <t>Q8 Payout</t>
  </si>
  <si>
    <t>A senior NRI citizen can get 9.2% for a tenue of 435 days booked before 11feb 2024</t>
  </si>
  <si>
    <t>FD Type: Cumulative with Quarterly Compounding
Principal: Rs. 1,00,000
Rate: 6.95% p.a. (regular citizen)
Tenure: 2 years
Formula: A = P x (1 + r/400)^(4 x T)
Calculation:
Step 1: r/400 = 6.95/400 = 0.017375
Step 2: 1 + 0.017375 = 1.017375
Step 3: 4 x T = 4 x 2 = 8
Step 4: (1.017375)^8 = 1.1477531
Step 5: A = 1,00,000 x 1.1477531 = Rs. 1,14,775.31
Total Interest = Rs. 1,14,775.31 - Rs. 1,00,000 = Rs. 14,775.31
At maturity, you will receive Rs. 1,14,775.31 (earning Rs. 14,775.31 in interest).
Maturity date is 1 Jan 2027 and not 31 Dec 2026</t>
  </si>
  <si>
    <t>You will NOT receive the contracted rate. Interest is paid at the rate applicable to the amount and period for which the deposit actually remained with the bank — not the contracted rate.
If the withdrawal takes place before completion of the minimum period of 7 days, NO interest shall be paid at all.</t>
  </si>
  <si>
    <t>No, the bank cannot deduct a penalty. The components of the penalty must be clearly brought to the notice of the depositor at the time of acceptance of the deposit. If this was not done, no penalty shall be levied.
Since the bank never informed you at the time of booking, they have no right to deduct a penalty.</t>
  </si>
  <si>
    <t>No penalty for premature withdrawal shall be levied, provided the period and aggregate amount of the deposit do not undergo any change.
In your case, the aggregate amount remains Rs. 2 lakh and the tenure is unchanged, so no penalty will be charged.</t>
  </si>
  <si>
    <t>No, you are not entitled to any interest.
The minimum tenor for a term deposit is 7 days. Where premature withdrawal takes place before completion of this minimum period, no interest shall be paid. Since you held the FD for only 5 days, you will receive only your principal back.</t>
  </si>
  <si>
    <t>The minimum tenor for a domestic term deposit is SEVEN DAYS.
A bank has the freedom to determine the tenure of the deposit subject to the condition that the minimum tenor shall be seven days.
Note: For NRE term deposits, the minimum tenor is one year. For NRO term deposits, the minimum is also seven days.</t>
  </si>
  <si>
    <t>No, this is not allowed. The minimum tenor of NRE (Non-Resident External) term deposits is one year. A 6-month NRE term deposit does not meet this requirement and cannot be accepted.
If you need a 6-month non-resident deposit, an NRO term deposit (minimum 7 days) would be an option.</t>
  </si>
  <si>
    <t>Yes, you can open an NRO term deposit for 10 days. The minimum tenor of NRO term deposits is seven days. Since 10 days exceeds the minimum, this is permitted.
Note: NRE term deposits have a minimum of one year, but NRO deposits follow the same 7-day minimum as domestic term deposits.</t>
  </si>
  <si>
    <t>No, you will not get the senior citizen interest rate benefit. This facility is explicitly NOT available on term deposits standing in the name of a HUF or the Karta of the HUF — even if the Karta is a resident Indian senior citizen.
Since your FD is in the name of the HUF, the senior citizen rate benefit does not apply.</t>
  </si>
  <si>
    <t>Yes, you can get both benefits simultaneously. A bank may, at its discretion, give its resident Indian retired staff who are senior citizens the benefit of additional interest as admissible to senior citizens over and above the additional interest payable to them as retired staff members.
Both benefits can apply at the bank's discretion.</t>
  </si>
  <si>
    <t>Yes, a bank may offer higher and fixed interest rates specifically for resident Indian senior citizens on term deposits of any size, at its discretion. There is no limit on deposit size for this benefit.
Exception: This facility cannot be offered on deposits in the name of an HUF or the Karta of the HUF, even if the Karta is a senior citizen.</t>
  </si>
  <si>
    <t>No. Interest rates on NRE/NRO deposits shall not be higher than those offered by the bank on comparable domestic rupee term deposits. The NRE rate is capped at the domestic rate for the same tenor and deposit size.</t>
  </si>
  <si>
    <t>No. The benefit of additional interest rate on deposits on account of being a senior citizen shall NOT be available to NRE and NRO deposits. This is an explicit exclusion — the senior citizen rate benefit applies only to domestic rupee term deposits of resident Indians.</t>
  </si>
  <si>
    <t>Yes, the bank must mandatorily provide a premature withdrawal facility. All NRE/NRO term deposits accepted from individuals for an amount of Rs. 1 crore and below shall have premature withdrawal facility.
Since your NRE FD is Rs. 80,000, well below Rs. 1 crore, the bank is required to provide this facility.</t>
  </si>
  <si>
    <t>The unclaimed amount will earn interest at the LOWER of:
1. The rate applicable to savings account, OR
2. The contracted rate of interest on the matured TD
Whichever is lower applies from the date of maturity until you withdraw it. This is not a fresh term deposit rate.</t>
  </si>
  <si>
    <t>For the period up to maturity: interest at the contracted rate applies.
For the period from maturity until payment to the claimant: the lower of the savings account rate or the contracted rate of the matured deposit applies (per Para 16 on unclaimed deposits).
No penalty is charged for premature withdrawal in such cases.</t>
  </si>
  <si>
    <t>Since you are a resident Indian claimant of an NRE FD, the deposit on maturity shall be treated as a domestic rupee term deposit. Interest for the subsequent period (after maturity until payment) shall be paid at the rate applicable to a domestic term deposit of similar maturity — not the NRE rate.</t>
  </si>
  <si>
    <t>Yes, you will receive interest for Sunday at the originally contracted rate. The bank shall pay interest at the contracted rate on the original principal deposit amount for the non-business working day (Sunday) intervening between the date of maturity and the date of payment on Monday.</t>
  </si>
  <si>
    <t>For reinvestment (cumulative) and recurring deposits, the bank shall pay interest for the intervening non-business working day on the MATURITY VALUE — not the original principal.
This differs from regular term deposits where interest for such a day is on the original principal. For reinvestment FDs, the maturity value is used.</t>
  </si>
  <si>
    <t>A Bulk Deposit means a Single Rupee term deposit of Rs. 3 crore and above.
Key points: it refers to a single deposit (not aggregate), the threshold is Rs. 3,00,00,000, and banks may offer differential interest rates only on bulk deposits.</t>
  </si>
  <si>
    <t>No. The rates shall NOT be subject to negotiation between the depositors and the bank. Interest rates shall be uniform across all branches and for all customers — no discrimination between deposits of similar amount on the same date.
Also, Rs. 2.5 crore is below the Rs. 3 crore bulk deposit threshold, so bulk differential rates do not apply.</t>
  </si>
  <si>
    <t>No, you will not be charged a premature withdrawal penalty. No penalty shall be levied where depositors desire premature withdrawal of deposit consequent to the transfer of business to another bank. This is an explicit exemption under the RBI Directions.</t>
  </si>
  <si>
    <t>No, a premature withdrawal penalty will NOT apply. No penalty shall be levied for premature withdrawal of NRE term deposits for conversion into an RFC (Resident Foreign Currency) account.
Note: This exemption applies only to NRE to RFC conversion. Converting NRE to FCNR(B) or vice versa would attract a penalty.</t>
  </si>
  <si>
    <t>Interest on FCNR(B) deposits is calculated on the basis of 360 days to a year — not 365 days. This differs from domestic term deposits which use the actual calendar days (365 or 366 for leap years).</t>
  </si>
  <si>
    <t>No, you will not receive any interest. If premature withdrawal of FCNR(B) deposits takes place before completion of the minimum stipulated period of one year, no interest shall be paid. You will receive only your principal back.</t>
  </si>
  <si>
    <t>Interest on FCNR(B) deposits is calculated and paid at intervals of 180 days each, and thereafter for the remaining actual number of days.
The depositor also has the option to receive interest on maturity with compounding effect instead of periodic payouts — this choice vests with the depositor.</t>
  </si>
  <si>
    <t>If I withdraw my FD before maturity, will I get the contracted rate or the rate applicable to the period I actually held it?</t>
  </si>
  <si>
    <t>My FD is Rs. 50,000. The bank never informed me about the premature withdrawal penalty at the time of booking. Can they still deduct a penalty?</t>
  </si>
  <si>
    <t>My father passed away. I want to split his Rs. 2 lakh FD into two FDs of Rs. 1 lakh each without changing the tenure or aggregate amount. Will I be charged a premature withdrawal penalty?</t>
  </si>
  <si>
    <t>I held an FD for only 5 days and want to close it. Am I entitled to any interest?</t>
  </si>
  <si>
    <t>What is the minimum tenure for a domestic term deposit as per RBI rules?</t>
  </si>
  <si>
    <t>I am an NRI and want to open an NRE term deposit for 6 months. Is this allowed?</t>
  </si>
  <si>
    <t>Can I open an NRO term deposit for 10 days?</t>
  </si>
  <si>
    <t>My FD is in the name of my HUF and I am the Karta and a senior citizen. Will I get the senior citizen interest rate benefit?</t>
  </si>
  <si>
    <t>I am a retired bank employee and also a senior citizen. Can I get both the staff additional interest AND the senior citizen benefit on the same FD?</t>
  </si>
  <si>
    <t>Can a bank offer a higher and fixed interest rate specifically for senior citizens on deposits of any size?</t>
  </si>
  <si>
    <t>As an NRI, can my NRE deposit earn a higher interest rate than what the bank offers on its comparable domestic deposits?</t>
  </si>
  <si>
    <t>I am an NRI senior citizen. Will I get the senior citizen additional interest rate on my NRE deposit?</t>
  </si>
  <si>
    <t>I have an NRE FD of Rs. 80,000. Does the bank have to provide a premature withdrawal facility?</t>
  </si>
  <si>
    <t>My FD matured 3 months ago and I forgot to renew or withdraw it. What interest rate applies to the unclaimed amount now?</t>
  </si>
  <si>
    <t>My mother held a domestic FD that matured last month. She passed away before maturity but I am claiming it now (after maturity). What interest applies?</t>
  </si>
  <si>
    <t>I am a resident Indian. My NRI father had an NRE FD that matured. He passed away after maturity. How will the proceeds be treated?</t>
  </si>
  <si>
    <t>My FD matures on a Sunday. The bank will pay me on Monday. Will I get interest for Sunday at the contracted rate?</t>
  </si>
  <si>
    <t>I have a reinvestment (cumulative) FD maturing on a public holiday. On what amount does the bank calculate interest for that holiday?</t>
  </si>
  <si>
    <t>What is the RBI definition of a bulk deposit?</t>
  </si>
  <si>
    <t>I have Rs. 2.5 crore to deposit. Can the bank offer me a specially negotiated higher interest rate since the amount is large?</t>
  </si>
  <si>
    <t>My bank branch is being taken over by another bank and I want to prematurely withdraw my FD as a result. Will I be charged a premature withdrawal penalty?</t>
  </si>
  <si>
    <t>I have returned to India permanently and want to convert my NRE FD into an RFC (Resident Foreign Currency) account. Will a premature withdrawal penalty apply?</t>
  </si>
  <si>
    <t>On how many days per year basis is interest calculated on FCNR(B) deposits — 360 or 365?</t>
  </si>
  <si>
    <t>I have an FCNR(B) deposit and I want to withdraw it before completing the minimum stipulated period of one year. Will I get any interest?</t>
  </si>
  <si>
    <t>At what intervals is interest paid on FCNR(B)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</si>
</sst>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5"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b/>
      <sz val="11"/>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51">
    <xf numFmtId="0" fontId="0" fillId="0" borderId="0" xfId="0"/>
    <xf numFmtId="15" fontId="0" fillId="0" borderId="0" xfId="0" applyNumberFormat="1"/>
    <xf numFmtId="14" fontId="0" fillId="0" borderId="0" xfId="0" applyNumberFormat="1"/>
    <xf numFmtId="10" fontId="0" fillId="0" borderId="0" xfId="0" applyNumberFormat="1"/>
    <xf numFmtId="164" fontId="0" fillId="0" borderId="0" xfId="1" applyFont="1"/>
    <xf numFmtId="164" fontId="0" fillId="0" borderId="0" xfId="0" applyNumberFormat="1"/>
    <xf numFmtId="14" fontId="0" fillId="0" borderId="1" xfId="0" applyNumberFormat="1" applyBorder="1"/>
    <xf numFmtId="4" fontId="0" fillId="0" borderId="0" xfId="0" applyNumberFormat="1"/>
    <xf numFmtId="0" fontId="0" fillId="2" borderId="0" xfId="0" applyFill="1"/>
    <xf numFmtId="4" fontId="0" fillId="2" borderId="0" xfId="0" applyNumberFormat="1" applyFill="1"/>
    <xf numFmtId="0" fontId="0" fillId="3" borderId="1" xfId="0" applyFill="1" applyBorder="1"/>
    <xf numFmtId="4" fontId="0" fillId="3" borderId="1" xfId="0" applyNumberFormat="1" applyFill="1" applyBorder="1"/>
    <xf numFmtId="2" fontId="0" fillId="0" borderId="0" xfId="0" applyNumberFormat="1"/>
    <xf numFmtId="14" fontId="0" fillId="2" borderId="0" xfId="0" applyNumberFormat="1" applyFill="1"/>
    <xf numFmtId="0" fontId="4" fillId="2" borderId="0" xfId="0" applyFont="1" applyFill="1"/>
    <xf numFmtId="0" fontId="3" fillId="0" borderId="0" xfId="0" applyFont="1"/>
    <xf numFmtId="0" fontId="0" fillId="0" borderId="1" xfId="0" applyBorder="1"/>
    <xf numFmtId="15" fontId="0" fillId="0" borderId="1" xfId="0" applyNumberFormat="1" applyBorder="1"/>
    <xf numFmtId="4" fontId="0" fillId="0" borderId="1" xfId="0" applyNumberFormat="1" applyBorder="1"/>
    <xf numFmtId="0" fontId="0" fillId="4" borderId="0" xfId="0" applyFill="1"/>
    <xf numFmtId="164" fontId="0" fillId="4" borderId="0" xfId="0" applyNumberFormat="1" applyFill="1"/>
    <xf numFmtId="14" fontId="0" fillId="4" borderId="0" xfId="0" applyNumberFormat="1" applyFill="1"/>
    <xf numFmtId="164" fontId="0" fillId="4" borderId="0" xfId="1" applyFont="1" applyFill="1"/>
    <xf numFmtId="14" fontId="0" fillId="5" borderId="1" xfId="0" applyNumberFormat="1" applyFill="1" applyBorder="1"/>
    <xf numFmtId="0" fontId="0" fillId="5" borderId="1" xfId="0" applyFill="1" applyBorder="1"/>
    <xf numFmtId="0" fontId="0" fillId="4" borderId="1" xfId="0" applyFill="1" applyBorder="1"/>
    <xf numFmtId="14" fontId="0" fillId="4" borderId="1" xfId="0" applyNumberFormat="1" applyFill="1" applyBorder="1"/>
    <xf numFmtId="4" fontId="0" fillId="4" borderId="1" xfId="0" applyNumberFormat="1" applyFill="1" applyBorder="1"/>
    <xf numFmtId="4" fontId="0" fillId="4" borderId="0" xfId="0" applyNumberFormat="1" applyFill="1"/>
    <xf numFmtId="0" fontId="0" fillId="6" borderId="0" xfId="0" applyFill="1"/>
    <xf numFmtId="2" fontId="0" fillId="4" borderId="0" xfId="0" applyNumberFormat="1" applyFill="1"/>
    <xf numFmtId="164" fontId="0" fillId="4" borderId="1" xfId="1" applyFont="1" applyFill="1" applyBorder="1"/>
    <xf numFmtId="164" fontId="0" fillId="4" borderId="1" xfId="0" applyNumberFormat="1" applyFill="1" applyBorder="1"/>
    <xf numFmtId="0" fontId="0" fillId="5" borderId="0" xfId="0" applyFill="1"/>
    <xf numFmtId="164" fontId="0" fillId="5" borderId="1" xfId="1" applyFont="1" applyFill="1" applyBorder="1"/>
    <xf numFmtId="164" fontId="0" fillId="5" borderId="0" xfId="0" applyNumberFormat="1" applyFill="1"/>
    <xf numFmtId="14" fontId="0" fillId="5" borderId="0" xfId="0" applyNumberFormat="1" applyFill="1"/>
    <xf numFmtId="0" fontId="0" fillId="7" borderId="0" xfId="0" applyFill="1"/>
    <xf numFmtId="164" fontId="0" fillId="7" borderId="0" xfId="1" applyFont="1" applyFill="1"/>
    <xf numFmtId="164" fontId="0" fillId="7" borderId="0" xfId="0" applyNumberFormat="1" applyFill="1"/>
    <xf numFmtId="14" fontId="0" fillId="7" borderId="0" xfId="0" applyNumberFormat="1" applyFill="1"/>
    <xf numFmtId="10" fontId="0" fillId="4" borderId="0" xfId="0" applyNumberFormat="1" applyFill="1"/>
    <xf numFmtId="0" fontId="0" fillId="7" borderId="0" xfId="0" applyFill="1" applyAlignment="1">
      <alignment wrapText="1"/>
    </xf>
    <xf numFmtId="2" fontId="0" fillId="8" borderId="0" xfId="0" applyNumberFormat="1" applyFill="1"/>
    <xf numFmtId="4" fontId="0" fillId="5" borderId="0" xfId="0" applyNumberFormat="1" applyFill="1"/>
    <xf numFmtId="164" fontId="0" fillId="0" borderId="0" xfId="1" applyFont="1" applyFill="1"/>
    <xf numFmtId="164" fontId="0" fillId="5" borderId="0" xfId="1" applyFont="1" applyFill="1"/>
    <xf numFmtId="0" fontId="0" fillId="4" borderId="0" xfId="0" applyFill="1" applyAlignment="1">
      <alignment wrapText="1"/>
    </xf>
    <xf numFmtId="0" fontId="0" fillId="0" borderId="0" xfId="0" applyAlignment="1">
      <alignment wrapText="1"/>
    </xf>
    <xf numFmtId="0" fontId="4" fillId="0" borderId="0" xfId="0" applyFont="1"/>
    <xf numFmtId="0" fontId="4" fillId="0" borderId="0" xfId="0" applyFont="1" applyAlignment="1">
      <alignment horizontal="left"/>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FCA9-F48D-46F0-BD7C-0B44B0BBAE2E}">
  <dimension ref="A1:J413"/>
  <sheetViews>
    <sheetView tabSelected="1" workbookViewId="0"/>
  </sheetViews>
  <sheetFormatPr defaultRowHeight="14.5" x14ac:dyDescent="0.35"/>
  <cols>
    <col min="3" max="3" width="31.08984375" customWidth="1"/>
    <col min="4" max="4" width="23.90625" bestFit="1" customWidth="1"/>
    <col min="5" max="5" width="12.26953125" bestFit="1" customWidth="1"/>
  </cols>
  <sheetData>
    <row r="1" spans="1:10" x14ac:dyDescent="0.35">
      <c r="A1" s="49" t="s">
        <v>0</v>
      </c>
      <c r="B1" s="49" t="s">
        <v>1</v>
      </c>
      <c r="C1" s="50" t="s">
        <v>88</v>
      </c>
      <c r="D1" s="50"/>
      <c r="E1" s="50"/>
      <c r="F1" s="50"/>
      <c r="G1" s="50"/>
      <c r="H1" s="50"/>
      <c r="I1" s="50"/>
      <c r="J1" s="50"/>
    </row>
    <row r="2" spans="1:10" x14ac:dyDescent="0.35">
      <c r="A2">
        <v>1</v>
      </c>
      <c r="B2" t="s">
        <v>253</v>
      </c>
      <c r="C2" t="s">
        <v>82</v>
      </c>
      <c r="D2" s="1">
        <v>45558</v>
      </c>
    </row>
    <row r="3" spans="1:10" x14ac:dyDescent="0.35">
      <c r="C3" t="s">
        <v>83</v>
      </c>
      <c r="D3" s="2">
        <f>EDATE(D2,36)</f>
        <v>46653</v>
      </c>
    </row>
    <row r="4" spans="1:10" x14ac:dyDescent="0.35">
      <c r="C4" t="s">
        <v>89</v>
      </c>
      <c r="D4" t="s">
        <v>85</v>
      </c>
    </row>
    <row r="5" spans="1:10" x14ac:dyDescent="0.35">
      <c r="C5" t="s">
        <v>90</v>
      </c>
      <c r="D5" t="s">
        <v>86</v>
      </c>
    </row>
    <row r="6" spans="1:10" x14ac:dyDescent="0.35">
      <c r="C6" t="s">
        <v>133</v>
      </c>
      <c r="D6" t="s">
        <v>125</v>
      </c>
    </row>
    <row r="7" spans="1:10" x14ac:dyDescent="0.35">
      <c r="C7" t="s">
        <v>91</v>
      </c>
      <c r="D7" s="7">
        <v>100000</v>
      </c>
    </row>
    <row r="8" spans="1:10" x14ac:dyDescent="0.35">
      <c r="C8" t="s">
        <v>92</v>
      </c>
      <c r="D8" s="3">
        <v>0.08</v>
      </c>
    </row>
    <row r="9" spans="1:10" x14ac:dyDescent="0.35">
      <c r="C9" t="s">
        <v>93</v>
      </c>
      <c r="D9">
        <f>D3-D2</f>
        <v>1095</v>
      </c>
    </row>
    <row r="10" spans="1:10" x14ac:dyDescent="0.35">
      <c r="C10" t="s">
        <v>94</v>
      </c>
      <c r="D10">
        <v>3</v>
      </c>
    </row>
    <row r="12" spans="1:10" x14ac:dyDescent="0.35">
      <c r="C12" t="s">
        <v>95</v>
      </c>
      <c r="D12" t="s">
        <v>96</v>
      </c>
      <c r="E12" t="s">
        <v>97</v>
      </c>
      <c r="F12" t="s">
        <v>98</v>
      </c>
      <c r="G12" t="s">
        <v>99</v>
      </c>
    </row>
    <row r="13" spans="1:10" x14ac:dyDescent="0.35">
      <c r="C13" s="1">
        <f>D2</f>
        <v>45558</v>
      </c>
      <c r="D13" s="2">
        <f t="shared" ref="D13" si="0">EDATE(C13,3)</f>
        <v>45649</v>
      </c>
      <c r="E13" s="1">
        <f>EDATE(C13,12)</f>
        <v>45923</v>
      </c>
      <c r="F13">
        <f>D13-C13</f>
        <v>91</v>
      </c>
      <c r="G13">
        <f>E13-C13</f>
        <v>365</v>
      </c>
      <c r="I13" s="8" t="s">
        <v>100</v>
      </c>
      <c r="J13" s="9">
        <f>D7*D8*F13/G13</f>
        <v>1994.5205479452054</v>
      </c>
    </row>
    <row r="14" spans="1:10" x14ac:dyDescent="0.35">
      <c r="C14" s="2"/>
      <c r="D14" s="2"/>
      <c r="E14" s="1"/>
      <c r="J14" s="7"/>
    </row>
    <row r="15" spans="1:10" x14ac:dyDescent="0.35">
      <c r="C15" s="2"/>
      <c r="D15" s="2" t="s">
        <v>254</v>
      </c>
      <c r="E15" s="43">
        <f>J13</f>
        <v>1994.5205479452054</v>
      </c>
      <c r="J15" s="7"/>
    </row>
    <row r="17" spans="1:10" x14ac:dyDescent="0.35">
      <c r="A17">
        <v>2</v>
      </c>
      <c r="B17" t="s">
        <v>255</v>
      </c>
      <c r="C17" t="s">
        <v>82</v>
      </c>
      <c r="D17" s="1">
        <v>45558</v>
      </c>
    </row>
    <row r="18" spans="1:10" x14ac:dyDescent="0.35">
      <c r="C18" t="s">
        <v>83</v>
      </c>
      <c r="D18" s="2">
        <f>EDATE(D17,36)</f>
        <v>46653</v>
      </c>
    </row>
    <row r="19" spans="1:10" x14ac:dyDescent="0.35">
      <c r="C19" t="s">
        <v>89</v>
      </c>
      <c r="D19" t="s">
        <v>85</v>
      </c>
    </row>
    <row r="20" spans="1:10" x14ac:dyDescent="0.35">
      <c r="C20" t="s">
        <v>90</v>
      </c>
      <c r="D20" t="s">
        <v>84</v>
      </c>
    </row>
    <row r="21" spans="1:10" x14ac:dyDescent="0.35">
      <c r="C21" t="s">
        <v>133</v>
      </c>
      <c r="D21" t="s">
        <v>125</v>
      </c>
    </row>
    <row r="22" spans="1:10" x14ac:dyDescent="0.35">
      <c r="C22" t="s">
        <v>91</v>
      </c>
      <c r="D22" s="7">
        <v>100000</v>
      </c>
    </row>
    <row r="23" spans="1:10" x14ac:dyDescent="0.35">
      <c r="C23" t="s">
        <v>92</v>
      </c>
      <c r="D23" s="3">
        <v>0.08</v>
      </c>
    </row>
    <row r="24" spans="1:10" x14ac:dyDescent="0.35">
      <c r="C24" t="s">
        <v>93</v>
      </c>
      <c r="D24">
        <f>D18-D17</f>
        <v>1095</v>
      </c>
    </row>
    <row r="25" spans="1:10" x14ac:dyDescent="0.35">
      <c r="C25" t="s">
        <v>94</v>
      </c>
      <c r="D25">
        <v>3</v>
      </c>
    </row>
    <row r="27" spans="1:10" x14ac:dyDescent="0.35">
      <c r="C27" t="s">
        <v>95</v>
      </c>
      <c r="D27" t="s">
        <v>96</v>
      </c>
      <c r="E27" t="s">
        <v>97</v>
      </c>
      <c r="F27" t="s">
        <v>98</v>
      </c>
      <c r="G27" t="s">
        <v>99</v>
      </c>
    </row>
    <row r="28" spans="1:10" x14ac:dyDescent="0.35">
      <c r="C28" s="1">
        <f>D17</f>
        <v>45558</v>
      </c>
      <c r="D28" s="2">
        <f t="shared" ref="D28:D39" si="1">EDATE(C28,3)</f>
        <v>45649</v>
      </c>
      <c r="E28" s="1">
        <f>EDATE(C28,12)</f>
        <v>45923</v>
      </c>
      <c r="F28">
        <f>D28-C28</f>
        <v>91</v>
      </c>
      <c r="G28">
        <f>E28-C28</f>
        <v>365</v>
      </c>
      <c r="I28" s="8" t="s">
        <v>100</v>
      </c>
      <c r="J28" s="9">
        <f>$D$22*$D$23*F28/G28</f>
        <v>1994.5205479452054</v>
      </c>
    </row>
    <row r="29" spans="1:10" x14ac:dyDescent="0.35">
      <c r="C29" s="2">
        <f t="shared" ref="C29:C39" si="2">D28</f>
        <v>45649</v>
      </c>
      <c r="D29" s="2">
        <f t="shared" si="1"/>
        <v>45739</v>
      </c>
      <c r="E29" s="1">
        <f t="shared" ref="E29:E39" si="3">EDATE(C29,12)</f>
        <v>46014</v>
      </c>
      <c r="F29">
        <f t="shared" ref="F29:F39" si="4">D29-C29</f>
        <v>90</v>
      </c>
      <c r="G29">
        <f t="shared" ref="G29:G39" si="5">E29-C29</f>
        <v>365</v>
      </c>
      <c r="I29" s="8" t="s">
        <v>101</v>
      </c>
      <c r="J29" s="9">
        <f t="shared" ref="J29:J39" si="6">$D$22*$D$23*F29/G29</f>
        <v>1972.6027397260275</v>
      </c>
    </row>
    <row r="30" spans="1:10" x14ac:dyDescent="0.35">
      <c r="C30" s="2">
        <f t="shared" si="2"/>
        <v>45739</v>
      </c>
      <c r="D30" s="2">
        <f t="shared" si="1"/>
        <v>45831</v>
      </c>
      <c r="E30" s="1">
        <f t="shared" si="3"/>
        <v>46104</v>
      </c>
      <c r="F30">
        <f t="shared" si="4"/>
        <v>92</v>
      </c>
      <c r="G30">
        <f t="shared" si="5"/>
        <v>365</v>
      </c>
      <c r="I30" s="8" t="s">
        <v>102</v>
      </c>
      <c r="J30" s="9">
        <f t="shared" si="6"/>
        <v>2016.4383561643835</v>
      </c>
    </row>
    <row r="31" spans="1:10" x14ac:dyDescent="0.35">
      <c r="C31" s="2">
        <f t="shared" si="2"/>
        <v>45831</v>
      </c>
      <c r="D31" s="2">
        <f t="shared" si="1"/>
        <v>45923</v>
      </c>
      <c r="E31" s="1">
        <f t="shared" si="3"/>
        <v>46196</v>
      </c>
      <c r="F31">
        <f t="shared" si="4"/>
        <v>92</v>
      </c>
      <c r="G31">
        <f t="shared" si="5"/>
        <v>365</v>
      </c>
      <c r="I31" s="8" t="s">
        <v>103</v>
      </c>
      <c r="J31" s="9">
        <f t="shared" si="6"/>
        <v>2016.4383561643835</v>
      </c>
    </row>
    <row r="32" spans="1:10" x14ac:dyDescent="0.35">
      <c r="C32" s="2">
        <f t="shared" si="2"/>
        <v>45923</v>
      </c>
      <c r="D32" s="2">
        <f t="shared" si="1"/>
        <v>46014</v>
      </c>
      <c r="E32" s="1">
        <f t="shared" si="3"/>
        <v>46288</v>
      </c>
      <c r="F32">
        <f t="shared" si="4"/>
        <v>91</v>
      </c>
      <c r="G32">
        <f t="shared" si="5"/>
        <v>365</v>
      </c>
      <c r="I32" s="8" t="s">
        <v>104</v>
      </c>
      <c r="J32" s="9">
        <f t="shared" si="6"/>
        <v>1994.5205479452054</v>
      </c>
    </row>
    <row r="33" spans="1:10" x14ac:dyDescent="0.35">
      <c r="C33" s="2">
        <f t="shared" si="2"/>
        <v>46014</v>
      </c>
      <c r="D33" s="2">
        <f t="shared" si="1"/>
        <v>46104</v>
      </c>
      <c r="E33" s="1">
        <f t="shared" si="3"/>
        <v>46379</v>
      </c>
      <c r="F33">
        <f t="shared" si="4"/>
        <v>90</v>
      </c>
      <c r="G33">
        <f t="shared" si="5"/>
        <v>365</v>
      </c>
      <c r="I33" s="8" t="s">
        <v>105</v>
      </c>
      <c r="J33" s="9">
        <f t="shared" si="6"/>
        <v>1972.6027397260275</v>
      </c>
    </row>
    <row r="34" spans="1:10" x14ac:dyDescent="0.35">
      <c r="C34" s="2">
        <f t="shared" si="2"/>
        <v>46104</v>
      </c>
      <c r="D34" s="2">
        <f t="shared" si="1"/>
        <v>46196</v>
      </c>
      <c r="E34" s="1">
        <f t="shared" si="3"/>
        <v>46469</v>
      </c>
      <c r="F34">
        <f t="shared" si="4"/>
        <v>92</v>
      </c>
      <c r="G34">
        <f t="shared" si="5"/>
        <v>365</v>
      </c>
      <c r="I34" s="8" t="s">
        <v>106</v>
      </c>
      <c r="J34" s="9">
        <f t="shared" si="6"/>
        <v>2016.4383561643835</v>
      </c>
    </row>
    <row r="35" spans="1:10" x14ac:dyDescent="0.35">
      <c r="C35" s="2">
        <f t="shared" si="2"/>
        <v>46196</v>
      </c>
      <c r="D35" s="2">
        <f t="shared" si="1"/>
        <v>46288</v>
      </c>
      <c r="E35" s="1">
        <f t="shared" si="3"/>
        <v>46561</v>
      </c>
      <c r="F35">
        <f t="shared" si="4"/>
        <v>92</v>
      </c>
      <c r="G35">
        <f t="shared" si="5"/>
        <v>365</v>
      </c>
      <c r="I35" s="8" t="s">
        <v>107</v>
      </c>
      <c r="J35" s="9">
        <f t="shared" si="6"/>
        <v>2016.4383561643835</v>
      </c>
    </row>
    <row r="36" spans="1:10" x14ac:dyDescent="0.35">
      <c r="C36" s="2">
        <f t="shared" si="2"/>
        <v>46288</v>
      </c>
      <c r="D36" s="2">
        <f t="shared" si="1"/>
        <v>46379</v>
      </c>
      <c r="E36" s="1">
        <f t="shared" si="3"/>
        <v>46653</v>
      </c>
      <c r="F36">
        <f t="shared" si="4"/>
        <v>91</v>
      </c>
      <c r="G36">
        <f t="shared" si="5"/>
        <v>365</v>
      </c>
      <c r="I36" s="8" t="s">
        <v>134</v>
      </c>
      <c r="J36" s="9">
        <f t="shared" si="6"/>
        <v>1994.5205479452054</v>
      </c>
    </row>
    <row r="37" spans="1:10" x14ac:dyDescent="0.35">
      <c r="C37" s="2">
        <f t="shared" si="2"/>
        <v>46379</v>
      </c>
      <c r="D37" s="2">
        <f t="shared" si="1"/>
        <v>46469</v>
      </c>
      <c r="E37" s="1">
        <f t="shared" si="3"/>
        <v>46744</v>
      </c>
      <c r="F37">
        <f t="shared" si="4"/>
        <v>90</v>
      </c>
      <c r="G37">
        <f t="shared" si="5"/>
        <v>365</v>
      </c>
      <c r="I37" s="8" t="s">
        <v>135</v>
      </c>
      <c r="J37" s="9">
        <f t="shared" si="6"/>
        <v>1972.6027397260275</v>
      </c>
    </row>
    <row r="38" spans="1:10" x14ac:dyDescent="0.35">
      <c r="C38" s="2">
        <f t="shared" si="2"/>
        <v>46469</v>
      </c>
      <c r="D38" s="2">
        <f t="shared" si="1"/>
        <v>46561</v>
      </c>
      <c r="E38" s="1">
        <f t="shared" si="3"/>
        <v>46835</v>
      </c>
      <c r="F38">
        <f t="shared" si="4"/>
        <v>92</v>
      </c>
      <c r="G38">
        <f t="shared" si="5"/>
        <v>366</v>
      </c>
      <c r="I38" s="8" t="s">
        <v>136</v>
      </c>
      <c r="J38" s="9">
        <f t="shared" si="6"/>
        <v>2010.9289617486338</v>
      </c>
    </row>
    <row r="39" spans="1:10" x14ac:dyDescent="0.35">
      <c r="C39" s="2">
        <f t="shared" si="2"/>
        <v>46561</v>
      </c>
      <c r="D39" s="2">
        <f t="shared" si="1"/>
        <v>46653</v>
      </c>
      <c r="E39" s="1">
        <f t="shared" si="3"/>
        <v>46927</v>
      </c>
      <c r="F39">
        <f t="shared" si="4"/>
        <v>92</v>
      </c>
      <c r="G39">
        <f t="shared" si="5"/>
        <v>366</v>
      </c>
      <c r="I39" s="8" t="s">
        <v>137</v>
      </c>
      <c r="J39" s="9">
        <f t="shared" si="6"/>
        <v>2010.9289617486338</v>
      </c>
    </row>
    <row r="41" spans="1:10" x14ac:dyDescent="0.35">
      <c r="D41" t="s">
        <v>256</v>
      </c>
      <c r="E41" s="28">
        <f>SUM(J28:J39)</f>
        <v>23988.981211168502</v>
      </c>
    </row>
    <row r="44" spans="1:10" x14ac:dyDescent="0.35">
      <c r="A44">
        <v>3</v>
      </c>
      <c r="B44" t="s">
        <v>257</v>
      </c>
      <c r="C44" t="s">
        <v>82</v>
      </c>
      <c r="D44" s="1">
        <v>45558</v>
      </c>
    </row>
    <row r="45" spans="1:10" x14ac:dyDescent="0.35">
      <c r="C45" t="s">
        <v>83</v>
      </c>
      <c r="D45" s="2">
        <f>EDATE(D44,36)</f>
        <v>46653</v>
      </c>
    </row>
    <row r="46" spans="1:10" x14ac:dyDescent="0.35">
      <c r="C46" t="s">
        <v>89</v>
      </c>
      <c r="D46" t="s">
        <v>85</v>
      </c>
    </row>
    <row r="47" spans="1:10" x14ac:dyDescent="0.35">
      <c r="C47" t="s">
        <v>90</v>
      </c>
      <c r="D47" t="s">
        <v>86</v>
      </c>
    </row>
    <row r="48" spans="1:10" x14ac:dyDescent="0.35">
      <c r="C48" t="s">
        <v>133</v>
      </c>
      <c r="D48" t="s">
        <v>125</v>
      </c>
    </row>
    <row r="49" spans="3:10" x14ac:dyDescent="0.35">
      <c r="C49" t="s">
        <v>91</v>
      </c>
      <c r="D49" s="7">
        <v>100000</v>
      </c>
    </row>
    <row r="50" spans="3:10" x14ac:dyDescent="0.35">
      <c r="C50" t="s">
        <v>92</v>
      </c>
      <c r="D50" s="3">
        <v>0.08</v>
      </c>
    </row>
    <row r="51" spans="3:10" x14ac:dyDescent="0.35">
      <c r="C51" t="s">
        <v>93</v>
      </c>
      <c r="D51">
        <f>D45-D44</f>
        <v>1095</v>
      </c>
    </row>
    <row r="52" spans="3:10" x14ac:dyDescent="0.35">
      <c r="C52" t="s">
        <v>94</v>
      </c>
      <c r="D52">
        <v>2</v>
      </c>
    </row>
    <row r="54" spans="3:10" x14ac:dyDescent="0.35">
      <c r="C54" t="s">
        <v>95</v>
      </c>
      <c r="D54" t="s">
        <v>96</v>
      </c>
      <c r="E54" t="s">
        <v>97</v>
      </c>
      <c r="F54" t="s">
        <v>98</v>
      </c>
      <c r="G54" t="s">
        <v>99</v>
      </c>
    </row>
    <row r="55" spans="3:10" x14ac:dyDescent="0.35">
      <c r="C55" s="1">
        <f>D44</f>
        <v>45558</v>
      </c>
      <c r="D55" s="2">
        <f t="shared" ref="D55" si="7">EDATE(C55,3)</f>
        <v>45649</v>
      </c>
      <c r="E55" s="1">
        <f>EDATE(C55,12)</f>
        <v>45923</v>
      </c>
      <c r="F55">
        <f>D55-C55</f>
        <v>91</v>
      </c>
      <c r="G55">
        <f>E55-C55</f>
        <v>365</v>
      </c>
      <c r="I55" s="8" t="s">
        <v>100</v>
      </c>
      <c r="J55" s="9">
        <f>$D$49*$D$50*F55/G55</f>
        <v>1994.5205479452054</v>
      </c>
    </row>
    <row r="57" spans="3:10" x14ac:dyDescent="0.35">
      <c r="D57" t="s">
        <v>228</v>
      </c>
      <c r="E57" s="7">
        <f>$J$55</f>
        <v>1994.5205479452054</v>
      </c>
    </row>
    <row r="58" spans="3:10" x14ac:dyDescent="0.35">
      <c r="D58" t="s">
        <v>229</v>
      </c>
      <c r="E58" s="7">
        <f t="shared" ref="E58" si="8">$J$55</f>
        <v>1994.5205479452054</v>
      </c>
    </row>
    <row r="59" spans="3:10" x14ac:dyDescent="0.35">
      <c r="D59" t="s">
        <v>230</v>
      </c>
      <c r="E59" s="7">
        <f>$J$55*0.95</f>
        <v>1894.794520547945</v>
      </c>
    </row>
    <row r="60" spans="3:10" x14ac:dyDescent="0.35">
      <c r="D60" t="s">
        <v>231</v>
      </c>
      <c r="E60" s="44">
        <f>$J$55*0.9</f>
        <v>1795.0684931506848</v>
      </c>
    </row>
    <row r="61" spans="3:10" x14ac:dyDescent="0.35">
      <c r="D61" t="s">
        <v>232</v>
      </c>
      <c r="E61" s="7">
        <f>$J$55*0.8</f>
        <v>1595.6164383561645</v>
      </c>
    </row>
    <row r="63" spans="3:10" x14ac:dyDescent="0.35">
      <c r="D63" t="s">
        <v>258</v>
      </c>
    </row>
    <row r="65" spans="1:10" x14ac:dyDescent="0.35">
      <c r="A65">
        <v>4</v>
      </c>
      <c r="B65" t="s">
        <v>259</v>
      </c>
      <c r="C65" t="s">
        <v>82</v>
      </c>
      <c r="D65" s="1">
        <v>45662</v>
      </c>
    </row>
    <row r="66" spans="1:10" x14ac:dyDescent="0.35">
      <c r="C66" t="s">
        <v>83</v>
      </c>
      <c r="D66" s="2">
        <f>EDATE(D65,18)</f>
        <v>46208</v>
      </c>
    </row>
    <row r="67" spans="1:10" x14ac:dyDescent="0.35">
      <c r="C67" t="s">
        <v>89</v>
      </c>
      <c r="D67" t="s">
        <v>85</v>
      </c>
    </row>
    <row r="68" spans="1:10" x14ac:dyDescent="0.35">
      <c r="C68" t="s">
        <v>90</v>
      </c>
      <c r="D68" t="s">
        <v>84</v>
      </c>
    </row>
    <row r="69" spans="1:10" x14ac:dyDescent="0.35">
      <c r="C69" t="s">
        <v>133</v>
      </c>
      <c r="D69" t="s">
        <v>125</v>
      </c>
    </row>
    <row r="70" spans="1:10" x14ac:dyDescent="0.35">
      <c r="C70" t="s">
        <v>91</v>
      </c>
      <c r="D70" s="7">
        <v>250000</v>
      </c>
    </row>
    <row r="71" spans="1:10" x14ac:dyDescent="0.35">
      <c r="C71" t="s">
        <v>92</v>
      </c>
      <c r="D71" s="3">
        <v>6.7500000000000004E-2</v>
      </c>
    </row>
    <row r="72" spans="1:10" x14ac:dyDescent="0.35">
      <c r="C72" t="s">
        <v>93</v>
      </c>
      <c r="D72">
        <f>D66-D65</f>
        <v>546</v>
      </c>
    </row>
    <row r="73" spans="1:10" x14ac:dyDescent="0.35">
      <c r="C73" t="s">
        <v>94</v>
      </c>
      <c r="D73">
        <v>2</v>
      </c>
    </row>
    <row r="75" spans="1:10" x14ac:dyDescent="0.35">
      <c r="C75" t="s">
        <v>95</v>
      </c>
      <c r="D75" t="s">
        <v>96</v>
      </c>
      <c r="E75" t="s">
        <v>97</v>
      </c>
      <c r="F75" t="s">
        <v>98</v>
      </c>
      <c r="G75" t="s">
        <v>99</v>
      </c>
    </row>
    <row r="76" spans="1:10" x14ac:dyDescent="0.35">
      <c r="C76" s="1">
        <f>D65</f>
        <v>45662</v>
      </c>
      <c r="D76" s="2">
        <f t="shared" ref="D76" si="9">EDATE(C76,3)</f>
        <v>45752</v>
      </c>
      <c r="E76" s="1">
        <f>EDATE(C76,12)</f>
        <v>46027</v>
      </c>
      <c r="F76">
        <f>D76-C76</f>
        <v>90</v>
      </c>
      <c r="G76">
        <f>E76-C76</f>
        <v>365</v>
      </c>
      <c r="I76" s="8" t="s">
        <v>100</v>
      </c>
      <c r="J76" s="9">
        <f>D70*D71*F76/G76</f>
        <v>4160.9589041095887</v>
      </c>
    </row>
    <row r="78" spans="1:10" x14ac:dyDescent="0.35">
      <c r="D78" t="s">
        <v>260</v>
      </c>
      <c r="E78" s="28">
        <f>J76</f>
        <v>4160.9589041095887</v>
      </c>
    </row>
    <row r="80" spans="1:10" x14ac:dyDescent="0.35">
      <c r="A80">
        <v>5</v>
      </c>
      <c r="B80" t="s">
        <v>261</v>
      </c>
      <c r="C80" t="s">
        <v>82</v>
      </c>
      <c r="D80" s="1">
        <v>45828</v>
      </c>
    </row>
    <row r="81" spans="3:10" x14ac:dyDescent="0.35">
      <c r="C81" t="s">
        <v>83</v>
      </c>
      <c r="D81" s="2">
        <f>D80+400</f>
        <v>46228</v>
      </c>
    </row>
    <row r="82" spans="3:10" x14ac:dyDescent="0.35">
      <c r="C82" t="s">
        <v>89</v>
      </c>
      <c r="D82" t="s">
        <v>85</v>
      </c>
    </row>
    <row r="83" spans="3:10" x14ac:dyDescent="0.35">
      <c r="C83" t="s">
        <v>90</v>
      </c>
      <c r="D83" t="s">
        <v>86</v>
      </c>
    </row>
    <row r="84" spans="3:10" x14ac:dyDescent="0.35">
      <c r="C84" t="s">
        <v>133</v>
      </c>
      <c r="D84" t="s">
        <v>125</v>
      </c>
    </row>
    <row r="85" spans="3:10" x14ac:dyDescent="0.35">
      <c r="C85" t="s">
        <v>91</v>
      </c>
      <c r="D85" s="7">
        <v>50000</v>
      </c>
    </row>
    <row r="86" spans="3:10" x14ac:dyDescent="0.35">
      <c r="C86" t="s">
        <v>92</v>
      </c>
      <c r="D86" s="3">
        <v>6.7500000000000004E-2</v>
      </c>
    </row>
    <row r="87" spans="3:10" x14ac:dyDescent="0.35">
      <c r="C87" t="s">
        <v>93</v>
      </c>
      <c r="D87">
        <f>D81-D80</f>
        <v>400</v>
      </c>
    </row>
    <row r="88" spans="3:10" x14ac:dyDescent="0.35">
      <c r="C88" t="s">
        <v>94</v>
      </c>
      <c r="D88">
        <v>2</v>
      </c>
    </row>
    <row r="90" spans="3:10" x14ac:dyDescent="0.35">
      <c r="C90" t="s">
        <v>95</v>
      </c>
      <c r="D90" t="s">
        <v>96</v>
      </c>
      <c r="E90" t="s">
        <v>97</v>
      </c>
      <c r="F90" t="s">
        <v>98</v>
      </c>
      <c r="G90" t="s">
        <v>99</v>
      </c>
    </row>
    <row r="91" spans="3:10" x14ac:dyDescent="0.35">
      <c r="C91" s="1">
        <f>D80</f>
        <v>45828</v>
      </c>
      <c r="D91" s="2">
        <f t="shared" ref="D91:D94" si="10">EDATE(C91,3)</f>
        <v>45920</v>
      </c>
      <c r="E91" s="1">
        <f>EDATE(C91,12)</f>
        <v>46193</v>
      </c>
      <c r="F91">
        <f>D91-C91</f>
        <v>92</v>
      </c>
      <c r="G91">
        <f>E91-C91</f>
        <v>365</v>
      </c>
      <c r="I91" s="8" t="s">
        <v>100</v>
      </c>
      <c r="J91" s="9">
        <f>$D$85*$D$86*F91/G91</f>
        <v>850.68493150684935</v>
      </c>
    </row>
    <row r="92" spans="3:10" x14ac:dyDescent="0.35">
      <c r="C92" s="2">
        <f t="shared" ref="C92:C95" si="11">D91</f>
        <v>45920</v>
      </c>
      <c r="D92" s="2">
        <f t="shared" si="10"/>
        <v>46011</v>
      </c>
      <c r="E92" s="1">
        <f t="shared" ref="E92:E95" si="12">EDATE(C92,12)</f>
        <v>46285</v>
      </c>
      <c r="F92">
        <f t="shared" ref="F92:F95" si="13">D92-C92</f>
        <v>91</v>
      </c>
      <c r="G92">
        <f t="shared" ref="G92:G95" si="14">E92-C92</f>
        <v>365</v>
      </c>
      <c r="I92" s="8" t="s">
        <v>101</v>
      </c>
      <c r="J92" s="9">
        <f t="shared" ref="J92:J95" si="15">$D$85*$D$86*F92/G92</f>
        <v>841.43835616438355</v>
      </c>
    </row>
    <row r="93" spans="3:10" x14ac:dyDescent="0.35">
      <c r="C93" s="2">
        <f t="shared" si="11"/>
        <v>46011</v>
      </c>
      <c r="D93" s="2">
        <f t="shared" si="10"/>
        <v>46101</v>
      </c>
      <c r="E93" s="1">
        <f t="shared" si="12"/>
        <v>46376</v>
      </c>
      <c r="F93">
        <f t="shared" si="13"/>
        <v>90</v>
      </c>
      <c r="G93">
        <f t="shared" si="14"/>
        <v>365</v>
      </c>
      <c r="I93" s="8" t="s">
        <v>102</v>
      </c>
      <c r="J93" s="9">
        <f t="shared" si="15"/>
        <v>832.19178082191786</v>
      </c>
    </row>
    <row r="94" spans="3:10" x14ac:dyDescent="0.35">
      <c r="C94" s="2">
        <f t="shared" si="11"/>
        <v>46101</v>
      </c>
      <c r="D94" s="2">
        <f t="shared" si="10"/>
        <v>46193</v>
      </c>
      <c r="E94" s="1">
        <f t="shared" si="12"/>
        <v>46466</v>
      </c>
      <c r="F94">
        <f t="shared" si="13"/>
        <v>92</v>
      </c>
      <c r="G94">
        <f t="shared" si="14"/>
        <v>365</v>
      </c>
      <c r="I94" s="8" t="s">
        <v>103</v>
      </c>
      <c r="J94" s="9">
        <f t="shared" si="15"/>
        <v>850.68493150684935</v>
      </c>
    </row>
    <row r="95" spans="3:10" x14ac:dyDescent="0.35">
      <c r="C95" s="2">
        <f t="shared" si="11"/>
        <v>46193</v>
      </c>
      <c r="D95" s="2">
        <f>C91+400</f>
        <v>46228</v>
      </c>
      <c r="E95" s="1">
        <f t="shared" si="12"/>
        <v>46558</v>
      </c>
      <c r="F95">
        <f t="shared" si="13"/>
        <v>35</v>
      </c>
      <c r="G95">
        <f t="shared" si="14"/>
        <v>365</v>
      </c>
      <c r="I95" s="8" t="s">
        <v>104</v>
      </c>
      <c r="J95" s="9">
        <f t="shared" si="15"/>
        <v>323.63013698630135</v>
      </c>
    </row>
    <row r="96" spans="3:10" x14ac:dyDescent="0.35">
      <c r="C96" s="2"/>
      <c r="D96" s="2"/>
      <c r="E96" s="1"/>
      <c r="J96" s="7"/>
    </row>
    <row r="97" spans="1:10" x14ac:dyDescent="0.35">
      <c r="C97" s="2"/>
      <c r="D97" s="2" t="s">
        <v>262</v>
      </c>
      <c r="E97" s="1"/>
      <c r="J97" s="7"/>
    </row>
    <row r="98" spans="1:10" x14ac:dyDescent="0.35">
      <c r="C98" s="2"/>
      <c r="D98" s="2" t="s">
        <v>157</v>
      </c>
      <c r="E98" s="30">
        <f>J91</f>
        <v>850.68493150684935</v>
      </c>
      <c r="J98" s="7"/>
    </row>
    <row r="99" spans="1:10" x14ac:dyDescent="0.35">
      <c r="D99" t="s">
        <v>158</v>
      </c>
      <c r="E99" s="30">
        <f t="shared" ref="E99:E102" si="16">J92</f>
        <v>841.43835616438355</v>
      </c>
    </row>
    <row r="100" spans="1:10" x14ac:dyDescent="0.35">
      <c r="D100" s="2" t="s">
        <v>159</v>
      </c>
      <c r="E100" s="30">
        <f t="shared" si="16"/>
        <v>832.19178082191786</v>
      </c>
    </row>
    <row r="101" spans="1:10" x14ac:dyDescent="0.35">
      <c r="D101" t="s">
        <v>160</v>
      </c>
      <c r="E101" s="30">
        <f t="shared" si="16"/>
        <v>850.68493150684935</v>
      </c>
    </row>
    <row r="102" spans="1:10" x14ac:dyDescent="0.35">
      <c r="D102" s="2" t="s">
        <v>161</v>
      </c>
      <c r="E102" s="30">
        <f t="shared" si="16"/>
        <v>323.63013698630135</v>
      </c>
    </row>
    <row r="104" spans="1:10" x14ac:dyDescent="0.35">
      <c r="A104">
        <v>6</v>
      </c>
      <c r="B104" t="s">
        <v>263</v>
      </c>
      <c r="C104" t="s">
        <v>82</v>
      </c>
      <c r="D104" s="1">
        <v>45575</v>
      </c>
    </row>
    <row r="105" spans="1:10" x14ac:dyDescent="0.35">
      <c r="C105" t="s">
        <v>83</v>
      </c>
      <c r="D105" s="2">
        <f>EDATE(D104,60)</f>
        <v>47401</v>
      </c>
    </row>
    <row r="106" spans="1:10" x14ac:dyDescent="0.35">
      <c r="C106" t="s">
        <v>89</v>
      </c>
      <c r="D106" t="s">
        <v>85</v>
      </c>
    </row>
    <row r="107" spans="1:10" x14ac:dyDescent="0.35">
      <c r="C107" t="s">
        <v>90</v>
      </c>
      <c r="D107" t="s">
        <v>86</v>
      </c>
    </row>
    <row r="108" spans="1:10" x14ac:dyDescent="0.35">
      <c r="C108" t="s">
        <v>133</v>
      </c>
      <c r="D108" t="s">
        <v>125</v>
      </c>
    </row>
    <row r="109" spans="1:10" x14ac:dyDescent="0.35">
      <c r="C109" t="s">
        <v>91</v>
      </c>
      <c r="D109" s="7">
        <v>300000</v>
      </c>
    </row>
    <row r="110" spans="1:10" x14ac:dyDescent="0.35">
      <c r="C110" t="s">
        <v>92</v>
      </c>
      <c r="D110" s="3">
        <v>7.6499999999999999E-2</v>
      </c>
    </row>
    <row r="111" spans="1:10" x14ac:dyDescent="0.35">
      <c r="C111" t="s">
        <v>93</v>
      </c>
      <c r="D111">
        <f>D105-D104</f>
        <v>1826</v>
      </c>
    </row>
    <row r="112" spans="1:10" x14ac:dyDescent="0.35">
      <c r="C112" t="s">
        <v>94</v>
      </c>
      <c r="D112">
        <v>2</v>
      </c>
    </row>
    <row r="114" spans="1:10" x14ac:dyDescent="0.35">
      <c r="C114" t="s">
        <v>95</v>
      </c>
      <c r="D114" t="s">
        <v>96</v>
      </c>
      <c r="E114" t="s">
        <v>97</v>
      </c>
      <c r="F114" t="s">
        <v>98</v>
      </c>
      <c r="G114" t="s">
        <v>99</v>
      </c>
    </row>
    <row r="115" spans="1:10" x14ac:dyDescent="0.35">
      <c r="C115" s="1">
        <f>D104</f>
        <v>45575</v>
      </c>
      <c r="D115" s="2">
        <f t="shared" ref="D115" si="17">EDATE(C115,3)</f>
        <v>45667</v>
      </c>
      <c r="E115" s="1">
        <f>EDATE(C115,12)</f>
        <v>45940</v>
      </c>
      <c r="F115">
        <f>D115-C115</f>
        <v>92</v>
      </c>
      <c r="G115">
        <f>E115-C115</f>
        <v>365</v>
      </c>
      <c r="I115" s="8" t="s">
        <v>100</v>
      </c>
      <c r="J115" s="9">
        <f>D109*D110*F115/G115</f>
        <v>5784.6575342465758</v>
      </c>
    </row>
    <row r="117" spans="1:10" x14ac:dyDescent="0.35">
      <c r="D117" t="s">
        <v>241</v>
      </c>
      <c r="E117" s="28">
        <f>J115</f>
        <v>5784.6575342465758</v>
      </c>
    </row>
    <row r="119" spans="1:10" x14ac:dyDescent="0.35">
      <c r="A119">
        <v>7</v>
      </c>
      <c r="B119" t="s">
        <v>264</v>
      </c>
      <c r="C119" t="s">
        <v>82</v>
      </c>
      <c r="D119" s="1">
        <v>45580</v>
      </c>
    </row>
    <row r="120" spans="1:10" x14ac:dyDescent="0.35">
      <c r="C120" t="s">
        <v>83</v>
      </c>
      <c r="D120" s="2">
        <f>EDATE(D119,24)</f>
        <v>46310</v>
      </c>
    </row>
    <row r="121" spans="1:10" x14ac:dyDescent="0.35">
      <c r="C121" t="s">
        <v>89</v>
      </c>
      <c r="D121" t="s">
        <v>85</v>
      </c>
    </row>
    <row r="122" spans="1:10" x14ac:dyDescent="0.35">
      <c r="C122" t="s">
        <v>90</v>
      </c>
      <c r="D122" t="s">
        <v>86</v>
      </c>
    </row>
    <row r="123" spans="1:10" x14ac:dyDescent="0.35">
      <c r="C123" t="s">
        <v>133</v>
      </c>
      <c r="D123" t="s">
        <v>125</v>
      </c>
    </row>
    <row r="124" spans="1:10" x14ac:dyDescent="0.35">
      <c r="C124" t="s">
        <v>91</v>
      </c>
      <c r="D124" s="7">
        <v>200000</v>
      </c>
    </row>
    <row r="125" spans="1:10" x14ac:dyDescent="0.35">
      <c r="C125" t="s">
        <v>92</v>
      </c>
      <c r="D125" s="3">
        <v>7.7499999999999999E-2</v>
      </c>
    </row>
    <row r="126" spans="1:10" x14ac:dyDescent="0.35">
      <c r="C126" t="s">
        <v>93</v>
      </c>
      <c r="D126">
        <f>D120-D119</f>
        <v>730</v>
      </c>
    </row>
    <row r="127" spans="1:10" x14ac:dyDescent="0.35">
      <c r="C127" t="s">
        <v>94</v>
      </c>
      <c r="D127">
        <v>2</v>
      </c>
    </row>
    <row r="129" spans="1:10" x14ac:dyDescent="0.35">
      <c r="C129" t="s">
        <v>95</v>
      </c>
      <c r="D129" t="s">
        <v>96</v>
      </c>
      <c r="E129" t="s">
        <v>97</v>
      </c>
      <c r="F129" t="s">
        <v>98</v>
      </c>
      <c r="G129" t="s">
        <v>99</v>
      </c>
    </row>
    <row r="130" spans="1:10" x14ac:dyDescent="0.35">
      <c r="C130" s="1">
        <f>D119</f>
        <v>45580</v>
      </c>
      <c r="D130" s="2">
        <f t="shared" ref="D130" si="18">EDATE(C130,3)</f>
        <v>45672</v>
      </c>
      <c r="E130" s="1">
        <f>EDATE(C130,12)</f>
        <v>45945</v>
      </c>
      <c r="F130">
        <f>D130-C130</f>
        <v>92</v>
      </c>
      <c r="G130">
        <f>E130-C130</f>
        <v>365</v>
      </c>
      <c r="I130" s="8" t="s">
        <v>100</v>
      </c>
      <c r="J130" s="9">
        <f>D124*D125*F130/G130</f>
        <v>3906.8493150684931</v>
      </c>
    </row>
    <row r="133" spans="1:10" x14ac:dyDescent="0.35">
      <c r="D133" t="s">
        <v>228</v>
      </c>
      <c r="E133" s="7">
        <f>J130</f>
        <v>3906.8493150684931</v>
      </c>
    </row>
    <row r="134" spans="1:10" x14ac:dyDescent="0.35">
      <c r="D134" t="s">
        <v>229</v>
      </c>
      <c r="E134" s="7">
        <f>J130</f>
        <v>3906.8493150684931</v>
      </c>
    </row>
    <row r="135" spans="1:10" x14ac:dyDescent="0.35">
      <c r="D135" t="s">
        <v>230</v>
      </c>
      <c r="E135">
        <f>0.95*J130</f>
        <v>3711.5068493150684</v>
      </c>
    </row>
    <row r="136" spans="1:10" x14ac:dyDescent="0.35">
      <c r="D136" t="s">
        <v>231</v>
      </c>
      <c r="E136">
        <f>0.9*J130</f>
        <v>3516.1643835616437</v>
      </c>
    </row>
    <row r="137" spans="1:10" x14ac:dyDescent="0.35">
      <c r="D137" t="s">
        <v>232</v>
      </c>
      <c r="E137">
        <f>0.8*J130</f>
        <v>3125.4794520547948</v>
      </c>
    </row>
    <row r="139" spans="1:10" x14ac:dyDescent="0.35">
      <c r="D139" s="19" t="s">
        <v>265</v>
      </c>
    </row>
    <row r="141" spans="1:10" x14ac:dyDescent="0.35">
      <c r="A141">
        <v>8</v>
      </c>
      <c r="B141" t="s">
        <v>266</v>
      </c>
      <c r="C141" t="s">
        <v>82</v>
      </c>
      <c r="D141" s="1">
        <v>45593</v>
      </c>
    </row>
    <row r="142" spans="1:10" x14ac:dyDescent="0.35">
      <c r="C142" t="s">
        <v>83</v>
      </c>
      <c r="D142" s="2">
        <f>EDATE(D141,36)</f>
        <v>46688</v>
      </c>
    </row>
    <row r="143" spans="1:10" x14ac:dyDescent="0.35">
      <c r="C143" t="s">
        <v>89</v>
      </c>
      <c r="D143" t="s">
        <v>85</v>
      </c>
    </row>
    <row r="144" spans="1:10" x14ac:dyDescent="0.35">
      <c r="C144" t="s">
        <v>90</v>
      </c>
      <c r="D144" t="s">
        <v>86</v>
      </c>
    </row>
    <row r="145" spans="1:4" x14ac:dyDescent="0.35">
      <c r="C145" t="s">
        <v>133</v>
      </c>
      <c r="D145" t="s">
        <v>211</v>
      </c>
    </row>
    <row r="146" spans="1:4" x14ac:dyDescent="0.35">
      <c r="C146" t="s">
        <v>91</v>
      </c>
      <c r="D146" s="7">
        <v>150000</v>
      </c>
    </row>
    <row r="147" spans="1:4" x14ac:dyDescent="0.35">
      <c r="C147" t="s">
        <v>92</v>
      </c>
      <c r="D147" s="3">
        <v>0.08</v>
      </c>
    </row>
    <row r="148" spans="1:4" x14ac:dyDescent="0.35">
      <c r="C148" t="s">
        <v>93</v>
      </c>
      <c r="D148">
        <f>D142-D141</f>
        <v>1095</v>
      </c>
    </row>
    <row r="149" spans="1:4" x14ac:dyDescent="0.35">
      <c r="C149" t="s">
        <v>94</v>
      </c>
      <c r="D149">
        <v>3</v>
      </c>
    </row>
    <row r="151" spans="1:4" x14ac:dyDescent="0.35">
      <c r="C151" t="s">
        <v>95</v>
      </c>
      <c r="D151" t="s">
        <v>96</v>
      </c>
    </row>
    <row r="152" spans="1:4" x14ac:dyDescent="0.35">
      <c r="C152" s="1">
        <f>D141</f>
        <v>45593</v>
      </c>
      <c r="D152" s="2">
        <f>D142</f>
        <v>46688</v>
      </c>
    </row>
    <row r="154" spans="1:4" x14ac:dyDescent="0.35">
      <c r="C154" t="s">
        <v>212</v>
      </c>
      <c r="D154">
        <f>(1+D147/4)^(4*D149)</f>
        <v>1.2682417945625453</v>
      </c>
    </row>
    <row r="155" spans="1:4" x14ac:dyDescent="0.35">
      <c r="C155" t="s">
        <v>213</v>
      </c>
      <c r="D155" s="4">
        <f>D146*D154</f>
        <v>190236.26918438179</v>
      </c>
    </row>
    <row r="156" spans="1:4" x14ac:dyDescent="0.35">
      <c r="C156" t="s">
        <v>214</v>
      </c>
      <c r="D156" s="4">
        <f>D155-D146</f>
        <v>40236.269184381788</v>
      </c>
    </row>
    <row r="158" spans="1:4" x14ac:dyDescent="0.35">
      <c r="C158" t="s">
        <v>213</v>
      </c>
      <c r="D158" s="20">
        <f>D155</f>
        <v>190236.26918438179</v>
      </c>
    </row>
    <row r="160" spans="1:4" x14ac:dyDescent="0.35">
      <c r="A160">
        <v>9</v>
      </c>
      <c r="B160" t="s">
        <v>267</v>
      </c>
      <c r="C160" t="s">
        <v>82</v>
      </c>
      <c r="D160" s="1">
        <v>45813</v>
      </c>
    </row>
    <row r="161" spans="3:4" x14ac:dyDescent="0.35">
      <c r="C161" t="s">
        <v>83</v>
      </c>
      <c r="D161" s="2">
        <f>EDATE(D160,60)</f>
        <v>47639</v>
      </c>
    </row>
    <row r="162" spans="3:4" x14ac:dyDescent="0.35">
      <c r="C162" t="s">
        <v>89</v>
      </c>
      <c r="D162" t="s">
        <v>85</v>
      </c>
    </row>
    <row r="163" spans="3:4" x14ac:dyDescent="0.35">
      <c r="C163" t="s">
        <v>90</v>
      </c>
      <c r="D163" t="s">
        <v>84</v>
      </c>
    </row>
    <row r="164" spans="3:4" x14ac:dyDescent="0.35">
      <c r="C164" t="s">
        <v>133</v>
      </c>
      <c r="D164" t="s">
        <v>211</v>
      </c>
    </row>
    <row r="165" spans="3:4" x14ac:dyDescent="0.35">
      <c r="C165" t="s">
        <v>91</v>
      </c>
      <c r="D165" s="7">
        <v>200000</v>
      </c>
    </row>
    <row r="166" spans="3:4" x14ac:dyDescent="0.35">
      <c r="C166" t="s">
        <v>92</v>
      </c>
      <c r="D166" s="3">
        <v>6.3500000000000001E-2</v>
      </c>
    </row>
    <row r="167" spans="3:4" x14ac:dyDescent="0.35">
      <c r="C167" t="s">
        <v>93</v>
      </c>
      <c r="D167">
        <f>D161-D160</f>
        <v>1826</v>
      </c>
    </row>
    <row r="168" spans="3:4" x14ac:dyDescent="0.35">
      <c r="C168" t="s">
        <v>94</v>
      </c>
      <c r="D168">
        <v>5</v>
      </c>
    </row>
    <row r="170" spans="3:4" x14ac:dyDescent="0.35">
      <c r="C170" t="s">
        <v>95</v>
      </c>
      <c r="D170" t="s">
        <v>96</v>
      </c>
    </row>
    <row r="171" spans="3:4" x14ac:dyDescent="0.35">
      <c r="C171" s="1">
        <f>D160</f>
        <v>45813</v>
      </c>
      <c r="D171" s="2">
        <f>D161</f>
        <v>47639</v>
      </c>
    </row>
    <row r="173" spans="3:4" x14ac:dyDescent="0.35">
      <c r="C173" t="s">
        <v>212</v>
      </c>
      <c r="D173">
        <f>(1+D166/4)^(4*D168)</f>
        <v>1.3702678090913045</v>
      </c>
    </row>
    <row r="174" spans="3:4" x14ac:dyDescent="0.35">
      <c r="C174" t="s">
        <v>213</v>
      </c>
      <c r="D174" s="22">
        <f>D165*D173</f>
        <v>274053.56181826093</v>
      </c>
    </row>
    <row r="175" spans="3:4" x14ac:dyDescent="0.35">
      <c r="C175" t="s">
        <v>214</v>
      </c>
      <c r="D175" s="22">
        <f>D174-D165</f>
        <v>74053.561818260932</v>
      </c>
    </row>
    <row r="177" spans="1:10" x14ac:dyDescent="0.35">
      <c r="A177">
        <v>10</v>
      </c>
      <c r="B177" t="s">
        <v>268</v>
      </c>
      <c r="C177" t="s">
        <v>82</v>
      </c>
      <c r="D177" s="1">
        <v>45763</v>
      </c>
    </row>
    <row r="178" spans="1:10" x14ac:dyDescent="0.35">
      <c r="C178" t="s">
        <v>83</v>
      </c>
      <c r="D178" s="2">
        <f>D177+244</f>
        <v>46007</v>
      </c>
    </row>
    <row r="179" spans="1:10" x14ac:dyDescent="0.35">
      <c r="C179" t="s">
        <v>89</v>
      </c>
      <c r="D179" t="s">
        <v>87</v>
      </c>
    </row>
    <row r="180" spans="1:10" x14ac:dyDescent="0.35">
      <c r="C180" t="s">
        <v>90</v>
      </c>
      <c r="D180" t="s">
        <v>86</v>
      </c>
    </row>
    <row r="181" spans="1:10" x14ac:dyDescent="0.35">
      <c r="C181" t="s">
        <v>133</v>
      </c>
      <c r="D181" t="s">
        <v>125</v>
      </c>
    </row>
    <row r="182" spans="1:10" x14ac:dyDescent="0.35">
      <c r="C182" t="s">
        <v>91</v>
      </c>
      <c r="D182" s="7">
        <v>100000</v>
      </c>
    </row>
    <row r="183" spans="1:10" x14ac:dyDescent="0.35">
      <c r="C183" t="s">
        <v>92</v>
      </c>
      <c r="D183" s="3">
        <v>7.2999999999999995E-2</v>
      </c>
    </row>
    <row r="184" spans="1:10" x14ac:dyDescent="0.35">
      <c r="C184" t="s">
        <v>93</v>
      </c>
      <c r="D184">
        <f>D178-D177</f>
        <v>244</v>
      </c>
    </row>
    <row r="185" spans="1:10" x14ac:dyDescent="0.35">
      <c r="C185" t="s">
        <v>94</v>
      </c>
      <c r="D185">
        <v>2</v>
      </c>
    </row>
    <row r="187" spans="1:10" x14ac:dyDescent="0.35">
      <c r="C187" t="s">
        <v>95</v>
      </c>
      <c r="D187" t="s">
        <v>96</v>
      </c>
      <c r="E187" t="s">
        <v>97</v>
      </c>
      <c r="F187" t="s">
        <v>98</v>
      </c>
      <c r="G187" t="s">
        <v>99</v>
      </c>
    </row>
    <row r="188" spans="1:10" x14ac:dyDescent="0.35">
      <c r="C188" s="1">
        <f>D177</f>
        <v>45763</v>
      </c>
      <c r="D188" s="2">
        <f t="shared" ref="D188:D189" si="19">EDATE(C188,3)</f>
        <v>45854</v>
      </c>
      <c r="E188" s="1">
        <f>EDATE(C188,12)</f>
        <v>46128</v>
      </c>
      <c r="F188">
        <f>D188-C188</f>
        <v>91</v>
      </c>
      <c r="G188">
        <f>E188-C188</f>
        <v>365</v>
      </c>
      <c r="I188" s="8" t="s">
        <v>100</v>
      </c>
      <c r="J188" s="9">
        <f>$D$182*$D$183*F188/G188</f>
        <v>1819.9999999999998</v>
      </c>
    </row>
    <row r="189" spans="1:10" x14ac:dyDescent="0.35">
      <c r="C189" s="2">
        <f t="shared" ref="C189:C190" si="20">D188</f>
        <v>45854</v>
      </c>
      <c r="D189" s="2">
        <f t="shared" si="19"/>
        <v>45946</v>
      </c>
      <c r="E189" s="1">
        <f t="shared" ref="E189:E190" si="21">EDATE(C189,12)</f>
        <v>46219</v>
      </c>
      <c r="F189">
        <f t="shared" ref="F189:F190" si="22">D189-C189</f>
        <v>92</v>
      </c>
      <c r="G189">
        <f t="shared" ref="G189:G190" si="23">E189-C189</f>
        <v>365</v>
      </c>
      <c r="I189" s="8" t="s">
        <v>101</v>
      </c>
      <c r="J189" s="9">
        <f t="shared" ref="J189:J190" si="24">$D$182*$D$183*F189/G189</f>
        <v>1839.9999999999998</v>
      </c>
    </row>
    <row r="190" spans="1:10" x14ac:dyDescent="0.35">
      <c r="C190" s="2">
        <f t="shared" si="20"/>
        <v>45946</v>
      </c>
      <c r="D190" s="2">
        <f>C188+244</f>
        <v>46007</v>
      </c>
      <c r="E190" s="1">
        <f t="shared" si="21"/>
        <v>46311</v>
      </c>
      <c r="F190">
        <f t="shared" si="22"/>
        <v>61</v>
      </c>
      <c r="G190">
        <f t="shared" si="23"/>
        <v>365</v>
      </c>
      <c r="I190" s="8" t="s">
        <v>102</v>
      </c>
      <c r="J190" s="9">
        <f t="shared" si="24"/>
        <v>1219.9999999999998</v>
      </c>
    </row>
    <row r="192" spans="1:10" x14ac:dyDescent="0.35">
      <c r="D192" t="s">
        <v>269</v>
      </c>
      <c r="E192" s="28">
        <f>J190+D182</f>
        <v>101220</v>
      </c>
    </row>
    <row r="195" spans="1:4" x14ac:dyDescent="0.35">
      <c r="A195">
        <v>11</v>
      </c>
      <c r="B195" t="s">
        <v>270</v>
      </c>
      <c r="C195" t="s">
        <v>82</v>
      </c>
      <c r="D195" s="1">
        <v>45341</v>
      </c>
    </row>
    <row r="196" spans="1:4" x14ac:dyDescent="0.35">
      <c r="C196" t="s">
        <v>83</v>
      </c>
      <c r="D196" s="2">
        <f>EDATE(D195,24)</f>
        <v>46072</v>
      </c>
    </row>
    <row r="197" spans="1:4" x14ac:dyDescent="0.35">
      <c r="C197" t="s">
        <v>89</v>
      </c>
      <c r="D197" t="s">
        <v>87</v>
      </c>
    </row>
    <row r="198" spans="1:4" x14ac:dyDescent="0.35">
      <c r="C198" t="s">
        <v>90</v>
      </c>
      <c r="D198" t="s">
        <v>86</v>
      </c>
    </row>
    <row r="199" spans="1:4" x14ac:dyDescent="0.35">
      <c r="C199" t="s">
        <v>133</v>
      </c>
      <c r="D199" t="s">
        <v>211</v>
      </c>
    </row>
    <row r="200" spans="1:4" x14ac:dyDescent="0.35">
      <c r="C200" t="s">
        <v>91</v>
      </c>
      <c r="D200" s="7">
        <v>50000000</v>
      </c>
    </row>
    <row r="201" spans="1:4" x14ac:dyDescent="0.35">
      <c r="C201" t="s">
        <v>92</v>
      </c>
      <c r="D201" s="3">
        <v>7.8E-2</v>
      </c>
    </row>
    <row r="202" spans="1:4" x14ac:dyDescent="0.35">
      <c r="C202" t="s">
        <v>93</v>
      </c>
      <c r="D202">
        <f>D196-D195</f>
        <v>731</v>
      </c>
    </row>
    <row r="203" spans="1:4" x14ac:dyDescent="0.35">
      <c r="C203" t="s">
        <v>94</v>
      </c>
      <c r="D203">
        <v>2</v>
      </c>
    </row>
    <row r="205" spans="1:4" x14ac:dyDescent="0.35">
      <c r="C205" t="s">
        <v>95</v>
      </c>
      <c r="D205" t="s">
        <v>96</v>
      </c>
    </row>
    <row r="206" spans="1:4" x14ac:dyDescent="0.35">
      <c r="C206" s="1">
        <f>D195</f>
        <v>45341</v>
      </c>
      <c r="D206" s="2">
        <f>D196</f>
        <v>46072</v>
      </c>
    </row>
    <row r="208" spans="1:4" x14ac:dyDescent="0.35">
      <c r="C208" t="s">
        <v>212</v>
      </c>
      <c r="D208">
        <f>(1+D201/4)^(4*D203)</f>
        <v>1.1670725137447724</v>
      </c>
    </row>
    <row r="209" spans="1:8" x14ac:dyDescent="0.35">
      <c r="C209" t="s">
        <v>213</v>
      </c>
      <c r="D209" s="45">
        <f>D200*D208</f>
        <v>58353625.687238619</v>
      </c>
    </row>
    <row r="210" spans="1:8" x14ac:dyDescent="0.35">
      <c r="C210" t="s">
        <v>214</v>
      </c>
      <c r="D210" s="22">
        <f>D209-D200</f>
        <v>8353625.6872386187</v>
      </c>
    </row>
    <row r="212" spans="1:8" x14ac:dyDescent="0.35">
      <c r="D212" s="1"/>
    </row>
    <row r="213" spans="1:8" x14ac:dyDescent="0.35">
      <c r="A213">
        <v>12</v>
      </c>
      <c r="B213" t="s">
        <v>271</v>
      </c>
      <c r="C213" t="s">
        <v>82</v>
      </c>
      <c r="D213" s="1">
        <v>45477</v>
      </c>
    </row>
    <row r="214" spans="1:8" x14ac:dyDescent="0.35">
      <c r="C214" t="s">
        <v>83</v>
      </c>
      <c r="D214" s="2">
        <f>EDATE(D213,36)</f>
        <v>46572</v>
      </c>
    </row>
    <row r="215" spans="1:8" x14ac:dyDescent="0.35">
      <c r="C215" t="s">
        <v>89</v>
      </c>
      <c r="D215" t="s">
        <v>85</v>
      </c>
    </row>
    <row r="216" spans="1:8" x14ac:dyDescent="0.35">
      <c r="C216" t="s">
        <v>90</v>
      </c>
      <c r="D216" t="s">
        <v>84</v>
      </c>
    </row>
    <row r="217" spans="1:8" x14ac:dyDescent="0.35">
      <c r="C217" t="s">
        <v>133</v>
      </c>
      <c r="D217" t="s">
        <v>125</v>
      </c>
    </row>
    <row r="218" spans="1:8" x14ac:dyDescent="0.35">
      <c r="C218" t="s">
        <v>91</v>
      </c>
      <c r="D218" s="7">
        <v>100000</v>
      </c>
    </row>
    <row r="219" spans="1:8" x14ac:dyDescent="0.35">
      <c r="C219" t="s">
        <v>92</v>
      </c>
      <c r="D219" s="3">
        <v>7.4999999999999997E-2</v>
      </c>
    </row>
    <row r="220" spans="1:8" x14ac:dyDescent="0.35">
      <c r="C220" t="s">
        <v>93</v>
      </c>
      <c r="D220">
        <f>D214-D213</f>
        <v>1095</v>
      </c>
    </row>
    <row r="221" spans="1:8" x14ac:dyDescent="0.35">
      <c r="C221" t="s">
        <v>94</v>
      </c>
      <c r="D221">
        <v>3</v>
      </c>
    </row>
    <row r="223" spans="1:8" x14ac:dyDescent="0.35">
      <c r="C223" t="s">
        <v>95</v>
      </c>
      <c r="D223" t="s">
        <v>96</v>
      </c>
      <c r="E223" t="s">
        <v>97</v>
      </c>
      <c r="F223" t="s">
        <v>98</v>
      </c>
      <c r="G223" t="s">
        <v>99</v>
      </c>
      <c r="H223" t="s">
        <v>100</v>
      </c>
    </row>
    <row r="224" spans="1:8" x14ac:dyDescent="0.35">
      <c r="C224" s="1">
        <f>D213</f>
        <v>45477</v>
      </c>
      <c r="D224" s="2">
        <f t="shared" ref="D224" si="25">EDATE(C224,3)</f>
        <v>45569</v>
      </c>
      <c r="E224" s="1">
        <f>EDATE(C224,12)</f>
        <v>45842</v>
      </c>
      <c r="F224">
        <f>D224-C224</f>
        <v>92</v>
      </c>
      <c r="G224">
        <f>E224-C224</f>
        <v>365</v>
      </c>
      <c r="H224">
        <f>D218*D219*F224/G224</f>
        <v>1890.4109589041095</v>
      </c>
    </row>
    <row r="225" spans="1:5" x14ac:dyDescent="0.35">
      <c r="C225" s="2"/>
      <c r="D225" s="2"/>
      <c r="E225" s="1"/>
    </row>
    <row r="226" spans="1:5" x14ac:dyDescent="0.35">
      <c r="C226" s="2"/>
      <c r="D226" s="2"/>
      <c r="E226" s="1"/>
    </row>
    <row r="227" spans="1:5" x14ac:dyDescent="0.35">
      <c r="C227" t="s">
        <v>228</v>
      </c>
      <c r="D227" s="7">
        <f>$H$224</f>
        <v>1890.4109589041095</v>
      </c>
      <c r="E227" s="1"/>
    </row>
    <row r="228" spans="1:5" x14ac:dyDescent="0.35">
      <c r="C228" t="s">
        <v>229</v>
      </c>
      <c r="D228" s="7">
        <f t="shared" ref="D228" si="26">$H$224</f>
        <v>1890.4109589041095</v>
      </c>
    </row>
    <row r="229" spans="1:5" x14ac:dyDescent="0.35">
      <c r="C229" t="s">
        <v>230</v>
      </c>
      <c r="D229" s="7">
        <f>$H$224*0.95</f>
        <v>1795.8904109589039</v>
      </c>
    </row>
    <row r="230" spans="1:5" x14ac:dyDescent="0.35">
      <c r="C230" t="s">
        <v>231</v>
      </c>
      <c r="D230" s="7">
        <f>$H$224*0.9</f>
        <v>1701.3698630136987</v>
      </c>
    </row>
    <row r="231" spans="1:5" x14ac:dyDescent="0.35">
      <c r="C231" t="s">
        <v>232</v>
      </c>
      <c r="D231" s="44">
        <f>$H$224*0.8</f>
        <v>1512.3287671232877</v>
      </c>
    </row>
    <row r="233" spans="1:5" x14ac:dyDescent="0.35">
      <c r="C233" s="19" t="s">
        <v>272</v>
      </c>
      <c r="D233" s="19"/>
    </row>
    <row r="235" spans="1:5" x14ac:dyDescent="0.35">
      <c r="A235">
        <v>13</v>
      </c>
      <c r="B235" t="s">
        <v>273</v>
      </c>
      <c r="C235" t="s">
        <v>82</v>
      </c>
      <c r="D235" s="1">
        <v>45260</v>
      </c>
    </row>
    <row r="236" spans="1:5" x14ac:dyDescent="0.35">
      <c r="C236" t="s">
        <v>83</v>
      </c>
      <c r="D236" s="2">
        <f>EDATE(D235,9)</f>
        <v>45534</v>
      </c>
    </row>
    <row r="237" spans="1:5" x14ac:dyDescent="0.35">
      <c r="C237" t="s">
        <v>89</v>
      </c>
      <c r="D237" t="s">
        <v>85</v>
      </c>
    </row>
    <row r="238" spans="1:5" x14ac:dyDescent="0.35">
      <c r="C238" t="s">
        <v>90</v>
      </c>
      <c r="D238" t="s">
        <v>86</v>
      </c>
    </row>
    <row r="239" spans="1:5" x14ac:dyDescent="0.35">
      <c r="C239" t="s">
        <v>133</v>
      </c>
      <c r="D239" t="s">
        <v>127</v>
      </c>
    </row>
    <row r="240" spans="1:5" x14ac:dyDescent="0.35">
      <c r="C240" t="s">
        <v>91</v>
      </c>
      <c r="D240" s="7">
        <v>500000</v>
      </c>
    </row>
    <row r="241" spans="1:10" x14ac:dyDescent="0.35">
      <c r="C241" t="s">
        <v>92</v>
      </c>
      <c r="D241" s="3">
        <v>8.5000000000000006E-2</v>
      </c>
    </row>
    <row r="242" spans="1:10" x14ac:dyDescent="0.35">
      <c r="C242" t="s">
        <v>93</v>
      </c>
      <c r="D242">
        <f>D236-D235</f>
        <v>274</v>
      </c>
    </row>
    <row r="243" spans="1:10" x14ac:dyDescent="0.35">
      <c r="C243" t="s">
        <v>94</v>
      </c>
      <c r="D243">
        <v>1</v>
      </c>
    </row>
    <row r="245" spans="1:10" x14ac:dyDescent="0.35">
      <c r="C245" t="s">
        <v>95</v>
      </c>
      <c r="D245" t="s">
        <v>96</v>
      </c>
      <c r="E245" t="s">
        <v>97</v>
      </c>
      <c r="F245" t="s">
        <v>98</v>
      </c>
      <c r="G245" t="s">
        <v>99</v>
      </c>
    </row>
    <row r="246" spans="1:10" x14ac:dyDescent="0.35">
      <c r="C246" s="1">
        <f>D235</f>
        <v>45260</v>
      </c>
      <c r="D246" s="2">
        <f>EDATE(C246,1)</f>
        <v>45290</v>
      </c>
      <c r="E246" s="2">
        <f>EDATE(C246,12)</f>
        <v>45626</v>
      </c>
      <c r="F246">
        <f>D246-C246</f>
        <v>30</v>
      </c>
      <c r="G246">
        <f>E246-C246</f>
        <v>366</v>
      </c>
      <c r="I246" s="19" t="s">
        <v>100</v>
      </c>
      <c r="J246" s="19">
        <f>$D$240*$D$241*F246/G246</f>
        <v>3483.6065573770493</v>
      </c>
    </row>
    <row r="247" spans="1:10" x14ac:dyDescent="0.35">
      <c r="C247" s="2">
        <f>D246</f>
        <v>45290</v>
      </c>
      <c r="D247" s="2">
        <f>EDATE(C247,1)</f>
        <v>45321</v>
      </c>
      <c r="E247" s="2">
        <f t="shared" ref="E247" si="27">EDATE(C247,12)</f>
        <v>45656</v>
      </c>
      <c r="F247">
        <f t="shared" ref="F247" si="28">D247-C247</f>
        <v>31</v>
      </c>
      <c r="G247">
        <f t="shared" ref="G247" si="29">E247-C247</f>
        <v>366</v>
      </c>
      <c r="I247" s="19" t="s">
        <v>101</v>
      </c>
      <c r="J247" s="19">
        <f t="shared" ref="J247:J254" si="30">$D$240*$D$241*F247/G247</f>
        <v>3599.7267759562842</v>
      </c>
    </row>
    <row r="248" spans="1:10" x14ac:dyDescent="0.35">
      <c r="C248" s="2">
        <f t="shared" ref="C248:C254" si="31">D247</f>
        <v>45321</v>
      </c>
      <c r="D248" s="2">
        <f t="shared" ref="D248:D254" si="32">EDATE(C248,1)</f>
        <v>45351</v>
      </c>
      <c r="E248" s="2">
        <f t="shared" ref="E248:E254" si="33">EDATE(C248,12)</f>
        <v>45687</v>
      </c>
      <c r="F248">
        <f t="shared" ref="F248:F254" si="34">D248-C248</f>
        <v>30</v>
      </c>
      <c r="G248">
        <f t="shared" ref="G248:G254" si="35">E248-C248</f>
        <v>366</v>
      </c>
      <c r="I248" s="19" t="s">
        <v>102</v>
      </c>
      <c r="J248" s="19">
        <f t="shared" si="30"/>
        <v>3483.6065573770493</v>
      </c>
    </row>
    <row r="249" spans="1:10" x14ac:dyDescent="0.35">
      <c r="C249" s="2">
        <f t="shared" si="31"/>
        <v>45351</v>
      </c>
      <c r="D249" s="2">
        <v>45381</v>
      </c>
      <c r="E249" s="2">
        <f t="shared" si="33"/>
        <v>45716</v>
      </c>
      <c r="F249">
        <f t="shared" si="34"/>
        <v>30</v>
      </c>
      <c r="G249">
        <f t="shared" si="35"/>
        <v>365</v>
      </c>
      <c r="I249" s="19" t="s">
        <v>103</v>
      </c>
      <c r="J249" s="19">
        <f t="shared" si="30"/>
        <v>3493.1506849315069</v>
      </c>
    </row>
    <row r="250" spans="1:10" x14ac:dyDescent="0.35">
      <c r="C250" s="2">
        <f t="shared" si="31"/>
        <v>45381</v>
      </c>
      <c r="D250" s="2">
        <f t="shared" si="32"/>
        <v>45412</v>
      </c>
      <c r="E250" s="2">
        <f t="shared" si="33"/>
        <v>45746</v>
      </c>
      <c r="F250">
        <f t="shared" si="34"/>
        <v>31</v>
      </c>
      <c r="G250">
        <f t="shared" si="35"/>
        <v>365</v>
      </c>
      <c r="I250" s="19" t="s">
        <v>104</v>
      </c>
      <c r="J250" s="19">
        <f t="shared" si="30"/>
        <v>3609.5890410958905</v>
      </c>
    </row>
    <row r="251" spans="1:10" x14ac:dyDescent="0.35">
      <c r="C251" s="2">
        <f t="shared" si="31"/>
        <v>45412</v>
      </c>
      <c r="D251" s="2">
        <f t="shared" si="32"/>
        <v>45442</v>
      </c>
      <c r="E251" s="2">
        <f t="shared" si="33"/>
        <v>45777</v>
      </c>
      <c r="F251">
        <f t="shared" si="34"/>
        <v>30</v>
      </c>
      <c r="G251">
        <f t="shared" si="35"/>
        <v>365</v>
      </c>
      <c r="I251" s="19" t="s">
        <v>105</v>
      </c>
      <c r="J251" s="19">
        <f t="shared" si="30"/>
        <v>3493.1506849315069</v>
      </c>
    </row>
    <row r="252" spans="1:10" x14ac:dyDescent="0.35">
      <c r="C252" s="2">
        <f t="shared" si="31"/>
        <v>45442</v>
      </c>
      <c r="D252" s="2">
        <f t="shared" si="32"/>
        <v>45473</v>
      </c>
      <c r="E252" s="2">
        <f t="shared" si="33"/>
        <v>45807</v>
      </c>
      <c r="F252">
        <f t="shared" si="34"/>
        <v>31</v>
      </c>
      <c r="G252">
        <f t="shared" si="35"/>
        <v>365</v>
      </c>
      <c r="I252" s="19" t="s">
        <v>106</v>
      </c>
      <c r="J252" s="19">
        <f t="shared" si="30"/>
        <v>3609.5890410958905</v>
      </c>
    </row>
    <row r="253" spans="1:10" x14ac:dyDescent="0.35">
      <c r="C253" s="2">
        <f t="shared" si="31"/>
        <v>45473</v>
      </c>
      <c r="D253" s="2">
        <f t="shared" si="32"/>
        <v>45503</v>
      </c>
      <c r="E253" s="2">
        <f t="shared" si="33"/>
        <v>45838</v>
      </c>
      <c r="F253">
        <f t="shared" si="34"/>
        <v>30</v>
      </c>
      <c r="G253">
        <f t="shared" si="35"/>
        <v>365</v>
      </c>
      <c r="I253" s="19" t="s">
        <v>107</v>
      </c>
      <c r="J253" s="19">
        <f t="shared" si="30"/>
        <v>3493.1506849315069</v>
      </c>
    </row>
    <row r="254" spans="1:10" x14ac:dyDescent="0.35">
      <c r="C254" s="2">
        <f t="shared" si="31"/>
        <v>45503</v>
      </c>
      <c r="D254" s="2">
        <f t="shared" si="32"/>
        <v>45534</v>
      </c>
      <c r="E254" s="2">
        <f t="shared" si="33"/>
        <v>45868</v>
      </c>
      <c r="F254">
        <f t="shared" si="34"/>
        <v>31</v>
      </c>
      <c r="G254">
        <f t="shared" si="35"/>
        <v>365</v>
      </c>
      <c r="I254" s="19" t="s">
        <v>134</v>
      </c>
      <c r="J254" s="19">
        <f t="shared" si="30"/>
        <v>3609.5890410958905</v>
      </c>
    </row>
    <row r="256" spans="1:10" x14ac:dyDescent="0.35">
      <c r="A256">
        <v>14</v>
      </c>
      <c r="B256" t="s">
        <v>274</v>
      </c>
      <c r="C256" t="s">
        <v>82</v>
      </c>
      <c r="D256" s="1">
        <v>45667</v>
      </c>
    </row>
    <row r="257" spans="3:4" x14ac:dyDescent="0.35">
      <c r="C257" t="s">
        <v>83</v>
      </c>
      <c r="D257" s="2">
        <f>EDATE(D256,12)</f>
        <v>46032</v>
      </c>
    </row>
    <row r="258" spans="3:4" x14ac:dyDescent="0.35">
      <c r="C258" t="s">
        <v>89</v>
      </c>
      <c r="D258" t="s">
        <v>85</v>
      </c>
    </row>
    <row r="259" spans="3:4" x14ac:dyDescent="0.35">
      <c r="C259" t="s">
        <v>90</v>
      </c>
      <c r="D259" t="s">
        <v>84</v>
      </c>
    </row>
    <row r="260" spans="3:4" x14ac:dyDescent="0.35">
      <c r="C260" t="s">
        <v>133</v>
      </c>
      <c r="D260" t="s">
        <v>211</v>
      </c>
    </row>
    <row r="261" spans="3:4" x14ac:dyDescent="0.35">
      <c r="C261" t="s">
        <v>91</v>
      </c>
      <c r="D261" s="7">
        <v>200000</v>
      </c>
    </row>
    <row r="262" spans="3:4" x14ac:dyDescent="0.35">
      <c r="C262" t="s">
        <v>92</v>
      </c>
      <c r="D262" s="3">
        <v>6.7500000000000004E-2</v>
      </c>
    </row>
    <row r="263" spans="3:4" x14ac:dyDescent="0.35">
      <c r="C263" t="s">
        <v>93</v>
      </c>
      <c r="D263">
        <f>D257-D256</f>
        <v>365</v>
      </c>
    </row>
    <row r="264" spans="3:4" x14ac:dyDescent="0.35">
      <c r="C264" t="s">
        <v>94</v>
      </c>
      <c r="D264">
        <v>1</v>
      </c>
    </row>
    <row r="266" spans="3:4" x14ac:dyDescent="0.35">
      <c r="C266" t="s">
        <v>95</v>
      </c>
      <c r="D266" t="s">
        <v>96</v>
      </c>
    </row>
    <row r="267" spans="3:4" x14ac:dyDescent="0.35">
      <c r="C267" s="1">
        <f>D256</f>
        <v>45667</v>
      </c>
      <c r="D267" s="2">
        <f>D257</f>
        <v>46032</v>
      </c>
    </row>
    <row r="269" spans="3:4" x14ac:dyDescent="0.35">
      <c r="C269" t="s">
        <v>212</v>
      </c>
      <c r="D269">
        <f>(1+D262/4)^(4*D264)</f>
        <v>1.0692278965211486</v>
      </c>
    </row>
    <row r="270" spans="3:4" x14ac:dyDescent="0.35">
      <c r="C270" s="33" t="s">
        <v>213</v>
      </c>
      <c r="D270" s="46">
        <f>D261*D269</f>
        <v>213845.57930422973</v>
      </c>
    </row>
    <row r="271" spans="3:4" x14ac:dyDescent="0.35">
      <c r="C271" t="s">
        <v>214</v>
      </c>
      <c r="D271" s="4">
        <f>D270-D261</f>
        <v>13845.57930422973</v>
      </c>
    </row>
    <row r="273" spans="1:4" x14ac:dyDescent="0.35">
      <c r="A273">
        <v>15</v>
      </c>
      <c r="B273" t="s">
        <v>275</v>
      </c>
      <c r="C273" t="s">
        <v>82</v>
      </c>
      <c r="D273" s="1">
        <v>45376</v>
      </c>
    </row>
    <row r="274" spans="1:4" x14ac:dyDescent="0.35">
      <c r="C274" t="s">
        <v>83</v>
      </c>
      <c r="D274" s="2">
        <f>EDATE(D273,60)</f>
        <v>47202</v>
      </c>
    </row>
    <row r="275" spans="1:4" x14ac:dyDescent="0.35">
      <c r="C275" t="s">
        <v>122</v>
      </c>
      <c r="D275" s="2" t="s">
        <v>125</v>
      </c>
    </row>
    <row r="276" spans="1:4" x14ac:dyDescent="0.35">
      <c r="C276" t="s">
        <v>89</v>
      </c>
      <c r="D276" t="s">
        <v>85</v>
      </c>
    </row>
    <row r="277" spans="1:4" x14ac:dyDescent="0.35">
      <c r="C277" t="s">
        <v>90</v>
      </c>
      <c r="D277" t="s">
        <v>86</v>
      </c>
    </row>
    <row r="278" spans="1:4" x14ac:dyDescent="0.35">
      <c r="C278" t="s">
        <v>91</v>
      </c>
      <c r="D278" s="7">
        <v>300000</v>
      </c>
    </row>
    <row r="279" spans="1:4" x14ac:dyDescent="0.35">
      <c r="C279" t="s">
        <v>92</v>
      </c>
      <c r="D279" s="3">
        <v>7.6499999999999999E-2</v>
      </c>
    </row>
    <row r="280" spans="1:4" x14ac:dyDescent="0.35">
      <c r="C280" t="s">
        <v>93</v>
      </c>
      <c r="D280">
        <f>D274-D273</f>
        <v>1826</v>
      </c>
    </row>
    <row r="281" spans="1:4" x14ac:dyDescent="0.35">
      <c r="C281" t="s">
        <v>94</v>
      </c>
      <c r="D281">
        <v>2</v>
      </c>
    </row>
    <row r="283" spans="1:4" x14ac:dyDescent="0.35">
      <c r="C283" t="s">
        <v>112</v>
      </c>
      <c r="D283" s="1">
        <v>45616</v>
      </c>
    </row>
    <row r="284" spans="1:4" x14ac:dyDescent="0.35">
      <c r="C284" t="s">
        <v>113</v>
      </c>
      <c r="D284">
        <f>D283-D273</f>
        <v>240</v>
      </c>
    </row>
    <row r="285" spans="1:4" x14ac:dyDescent="0.35">
      <c r="C285" t="s">
        <v>114</v>
      </c>
      <c r="D285" s="3">
        <v>7.4999999999999997E-2</v>
      </c>
    </row>
    <row r="286" spans="1:4" x14ac:dyDescent="0.35">
      <c r="C286" t="s">
        <v>115</v>
      </c>
      <c r="D286" s="3">
        <v>5.0000000000000001E-3</v>
      </c>
    </row>
    <row r="287" spans="1:4" x14ac:dyDescent="0.35">
      <c r="C287" t="s">
        <v>118</v>
      </c>
      <c r="D287" s="2">
        <f>EDATE(D273,12)</f>
        <v>45741</v>
      </c>
    </row>
    <row r="288" spans="1:4" x14ac:dyDescent="0.35">
      <c r="C288" t="s">
        <v>119</v>
      </c>
      <c r="D288" s="12">
        <f>D287-D273</f>
        <v>365</v>
      </c>
    </row>
    <row r="289" spans="1:10" x14ac:dyDescent="0.35">
      <c r="C289" t="s">
        <v>116</v>
      </c>
      <c r="D289" s="3">
        <f>MIN(D279,D285)-D286</f>
        <v>6.9999999999999993E-2</v>
      </c>
    </row>
    <row r="290" spans="1:10" x14ac:dyDescent="0.35">
      <c r="D290" s="3"/>
    </row>
    <row r="291" spans="1:10" x14ac:dyDescent="0.35">
      <c r="C291" t="s">
        <v>117</v>
      </c>
      <c r="D291" s="4">
        <f>D278+D278*D289*D284/D288</f>
        <v>313808.21917808219</v>
      </c>
    </row>
    <row r="293" spans="1:10" x14ac:dyDescent="0.35">
      <c r="C293" t="s">
        <v>95</v>
      </c>
      <c r="D293" t="s">
        <v>96</v>
      </c>
      <c r="E293" t="s">
        <v>97</v>
      </c>
      <c r="F293" t="s">
        <v>98</v>
      </c>
      <c r="G293" t="s">
        <v>99</v>
      </c>
    </row>
    <row r="294" spans="1:10" x14ac:dyDescent="0.35">
      <c r="C294" s="1">
        <f>D273</f>
        <v>45376</v>
      </c>
      <c r="D294" s="2">
        <f>EDATE(C294,3)</f>
        <v>45468</v>
      </c>
      <c r="E294" s="2">
        <f>EDATE(C294,12)</f>
        <v>45741</v>
      </c>
      <c r="F294">
        <f>D294-C294</f>
        <v>92</v>
      </c>
      <c r="G294">
        <f>E294-C294</f>
        <v>365</v>
      </c>
      <c r="I294" t="s">
        <v>100</v>
      </c>
      <c r="J294">
        <f>$D$278*$D$279*F294/G294</f>
        <v>5784.6575342465758</v>
      </c>
    </row>
    <row r="295" spans="1:10" x14ac:dyDescent="0.35">
      <c r="C295" s="2">
        <f>D294</f>
        <v>45468</v>
      </c>
      <c r="D295" s="2">
        <f t="shared" ref="D295" si="36">EDATE(C295,3)</f>
        <v>45560</v>
      </c>
      <c r="E295" s="2">
        <f t="shared" ref="E295" si="37">EDATE(C295,12)</f>
        <v>45833</v>
      </c>
      <c r="F295">
        <f t="shared" ref="F295" si="38">D295-C295</f>
        <v>92</v>
      </c>
      <c r="G295">
        <f t="shared" ref="G295" si="39">E295-C295</f>
        <v>365</v>
      </c>
      <c r="I295" t="s">
        <v>101</v>
      </c>
      <c r="J295">
        <f>$D$278*$D$279*F295/G295</f>
        <v>5784.6575342465758</v>
      </c>
    </row>
    <row r="296" spans="1:10" x14ac:dyDescent="0.35">
      <c r="C296" s="2"/>
      <c r="D296" s="2"/>
      <c r="E296" s="2"/>
    </row>
    <row r="297" spans="1:10" x14ac:dyDescent="0.35">
      <c r="C297" s="2"/>
      <c r="D297" s="2"/>
      <c r="E297" s="2"/>
    </row>
    <row r="298" spans="1:10" x14ac:dyDescent="0.35">
      <c r="C298" s="2"/>
      <c r="D298" s="2"/>
      <c r="E298" s="2"/>
    </row>
    <row r="299" spans="1:10" x14ac:dyDescent="0.35">
      <c r="C299" s="2"/>
      <c r="D299" s="2"/>
      <c r="E299" s="2"/>
    </row>
    <row r="301" spans="1:10" x14ac:dyDescent="0.35">
      <c r="C301" s="8" t="s">
        <v>128</v>
      </c>
      <c r="D301" s="20">
        <f>D291-SUM(J294:J295)</f>
        <v>302238.90410958906</v>
      </c>
    </row>
    <row r="304" spans="1:10" x14ac:dyDescent="0.35">
      <c r="A304">
        <v>16</v>
      </c>
      <c r="B304" t="s">
        <v>276</v>
      </c>
      <c r="C304" t="s">
        <v>82</v>
      </c>
      <c r="D304" s="1">
        <v>44927</v>
      </c>
    </row>
    <row r="305" spans="3:10" x14ac:dyDescent="0.35">
      <c r="C305" t="s">
        <v>83</v>
      </c>
      <c r="D305" s="2">
        <f>EDATE(D304,24)</f>
        <v>45658</v>
      </c>
    </row>
    <row r="306" spans="3:10" x14ac:dyDescent="0.35">
      <c r="C306" t="s">
        <v>89</v>
      </c>
      <c r="D306" t="s">
        <v>85</v>
      </c>
    </row>
    <row r="307" spans="3:10" x14ac:dyDescent="0.35">
      <c r="C307" t="s">
        <v>90</v>
      </c>
      <c r="D307" t="s">
        <v>84</v>
      </c>
    </row>
    <row r="308" spans="3:10" x14ac:dyDescent="0.35">
      <c r="C308" t="s">
        <v>133</v>
      </c>
      <c r="D308" t="s">
        <v>125</v>
      </c>
    </row>
    <row r="309" spans="3:10" x14ac:dyDescent="0.35">
      <c r="C309" t="s">
        <v>91</v>
      </c>
      <c r="D309" s="7">
        <v>120000</v>
      </c>
    </row>
    <row r="310" spans="3:10" x14ac:dyDescent="0.35">
      <c r="C310" t="s">
        <v>92</v>
      </c>
      <c r="D310" s="3">
        <v>7.7499999999999999E-2</v>
      </c>
    </row>
    <row r="311" spans="3:10" x14ac:dyDescent="0.35">
      <c r="C311" t="s">
        <v>93</v>
      </c>
      <c r="D311">
        <f>D305-D304</f>
        <v>731</v>
      </c>
    </row>
    <row r="312" spans="3:10" x14ac:dyDescent="0.35">
      <c r="C312" t="s">
        <v>94</v>
      </c>
      <c r="D312">
        <v>2</v>
      </c>
    </row>
    <row r="314" spans="3:10" x14ac:dyDescent="0.35">
      <c r="C314" t="s">
        <v>95</v>
      </c>
      <c r="D314" t="s">
        <v>96</v>
      </c>
      <c r="E314" t="s">
        <v>97</v>
      </c>
      <c r="F314" t="s">
        <v>98</v>
      </c>
      <c r="G314" t="s">
        <v>99</v>
      </c>
    </row>
    <row r="315" spans="3:10" x14ac:dyDescent="0.35">
      <c r="C315" s="1">
        <f>D304</f>
        <v>44927</v>
      </c>
      <c r="D315" s="2">
        <f t="shared" ref="D315:D322" si="40">EDATE(C315,3)</f>
        <v>45017</v>
      </c>
      <c r="E315" s="1">
        <f>EDATE(C315,12)</f>
        <v>45292</v>
      </c>
      <c r="F315">
        <f>D315-C315</f>
        <v>90</v>
      </c>
      <c r="G315">
        <f>E315-C315</f>
        <v>365</v>
      </c>
      <c r="I315" s="8" t="s">
        <v>100</v>
      </c>
      <c r="J315" s="9">
        <f>$D$309*$D$310*F315/G315</f>
        <v>2293.1506849315069</v>
      </c>
    </row>
    <row r="316" spans="3:10" x14ac:dyDescent="0.35">
      <c r="C316" s="2">
        <f t="shared" ref="C316:C322" si="41">D315</f>
        <v>45017</v>
      </c>
      <c r="D316" s="2">
        <f t="shared" si="40"/>
        <v>45108</v>
      </c>
      <c r="E316" s="1">
        <f t="shared" ref="E316:E322" si="42">EDATE(C316,12)</f>
        <v>45383</v>
      </c>
      <c r="F316">
        <f t="shared" ref="F316:F322" si="43">D316-C316</f>
        <v>91</v>
      </c>
      <c r="G316">
        <f t="shared" ref="G316:G322" si="44">E316-C316</f>
        <v>366</v>
      </c>
      <c r="I316" s="8" t="s">
        <v>101</v>
      </c>
      <c r="J316" s="9">
        <f t="shared" ref="J316:J322" si="45">$D$309*$D$310*F316/G316</f>
        <v>2312.2950819672133</v>
      </c>
    </row>
    <row r="317" spans="3:10" x14ac:dyDescent="0.35">
      <c r="C317" s="2">
        <f t="shared" si="41"/>
        <v>45108</v>
      </c>
      <c r="D317" s="2">
        <f t="shared" si="40"/>
        <v>45200</v>
      </c>
      <c r="E317" s="1">
        <f t="shared" si="42"/>
        <v>45474</v>
      </c>
      <c r="F317">
        <f t="shared" si="43"/>
        <v>92</v>
      </c>
      <c r="G317">
        <f t="shared" si="44"/>
        <v>366</v>
      </c>
      <c r="I317" s="8" t="s">
        <v>102</v>
      </c>
      <c r="J317" s="9">
        <f t="shared" si="45"/>
        <v>2337.7049180327867</v>
      </c>
    </row>
    <row r="318" spans="3:10" x14ac:dyDescent="0.35">
      <c r="C318" s="2">
        <f t="shared" si="41"/>
        <v>45200</v>
      </c>
      <c r="D318" s="2">
        <f t="shared" si="40"/>
        <v>45292</v>
      </c>
      <c r="E318" s="1">
        <f t="shared" si="42"/>
        <v>45566</v>
      </c>
      <c r="F318">
        <f t="shared" si="43"/>
        <v>92</v>
      </c>
      <c r="G318">
        <f t="shared" si="44"/>
        <v>366</v>
      </c>
      <c r="I318" s="8" t="s">
        <v>103</v>
      </c>
      <c r="J318" s="9">
        <f t="shared" si="45"/>
        <v>2337.7049180327867</v>
      </c>
    </row>
    <row r="319" spans="3:10" x14ac:dyDescent="0.35">
      <c r="C319" s="2">
        <f t="shared" si="41"/>
        <v>45292</v>
      </c>
      <c r="D319" s="2">
        <f t="shared" si="40"/>
        <v>45383</v>
      </c>
      <c r="E319" s="1">
        <f t="shared" si="42"/>
        <v>45658</v>
      </c>
      <c r="F319">
        <f t="shared" si="43"/>
        <v>91</v>
      </c>
      <c r="G319">
        <f t="shared" si="44"/>
        <v>366</v>
      </c>
      <c r="I319" s="8" t="s">
        <v>104</v>
      </c>
      <c r="J319" s="9">
        <f t="shared" si="45"/>
        <v>2312.2950819672133</v>
      </c>
    </row>
    <row r="320" spans="3:10" x14ac:dyDescent="0.35">
      <c r="C320" s="2">
        <f t="shared" si="41"/>
        <v>45383</v>
      </c>
      <c r="D320" s="2">
        <f t="shared" si="40"/>
        <v>45474</v>
      </c>
      <c r="E320" s="1">
        <f t="shared" si="42"/>
        <v>45748</v>
      </c>
      <c r="F320">
        <f t="shared" si="43"/>
        <v>91</v>
      </c>
      <c r="G320">
        <f t="shared" si="44"/>
        <v>365</v>
      </c>
      <c r="I320" s="8" t="s">
        <v>105</v>
      </c>
      <c r="J320" s="9">
        <f t="shared" si="45"/>
        <v>2318.6301369863013</v>
      </c>
    </row>
    <row r="321" spans="1:10" x14ac:dyDescent="0.35">
      <c r="C321" s="2">
        <f t="shared" si="41"/>
        <v>45474</v>
      </c>
      <c r="D321" s="2">
        <f t="shared" si="40"/>
        <v>45566</v>
      </c>
      <c r="E321" s="1">
        <f t="shared" si="42"/>
        <v>45839</v>
      </c>
      <c r="F321">
        <f t="shared" si="43"/>
        <v>92</v>
      </c>
      <c r="G321">
        <f t="shared" si="44"/>
        <v>365</v>
      </c>
      <c r="I321" s="8" t="s">
        <v>106</v>
      </c>
      <c r="J321" s="9">
        <f t="shared" si="45"/>
        <v>2344.1095890410961</v>
      </c>
    </row>
    <row r="322" spans="1:10" x14ac:dyDescent="0.35">
      <c r="C322" s="2">
        <f t="shared" si="41"/>
        <v>45566</v>
      </c>
      <c r="D322" s="2">
        <f t="shared" si="40"/>
        <v>45658</v>
      </c>
      <c r="E322" s="1">
        <f t="shared" si="42"/>
        <v>45931</v>
      </c>
      <c r="F322">
        <f t="shared" si="43"/>
        <v>92</v>
      </c>
      <c r="G322">
        <f t="shared" si="44"/>
        <v>365</v>
      </c>
      <c r="I322" s="8" t="s">
        <v>107</v>
      </c>
      <c r="J322" s="9">
        <f t="shared" si="45"/>
        <v>2344.1095890410961</v>
      </c>
    </row>
    <row r="324" spans="1:10" x14ac:dyDescent="0.35">
      <c r="D324" t="s">
        <v>128</v>
      </c>
      <c r="E324" s="28">
        <f>D309+J322</f>
        <v>122344.10958904109</v>
      </c>
    </row>
    <row r="326" spans="1:10" x14ac:dyDescent="0.35">
      <c r="A326">
        <v>17</v>
      </c>
      <c r="B326" t="s">
        <v>277</v>
      </c>
      <c r="C326" t="s">
        <v>82</v>
      </c>
      <c r="D326" s="1">
        <v>44927</v>
      </c>
    </row>
    <row r="327" spans="1:10" x14ac:dyDescent="0.35">
      <c r="C327" t="s">
        <v>83</v>
      </c>
      <c r="D327" s="2">
        <f>EDATE(D326,24)</f>
        <v>45658</v>
      </c>
    </row>
    <row r="328" spans="1:10" x14ac:dyDescent="0.35">
      <c r="C328" t="s">
        <v>89</v>
      </c>
      <c r="D328" t="s">
        <v>85</v>
      </c>
    </row>
    <row r="329" spans="1:10" x14ac:dyDescent="0.35">
      <c r="C329" t="s">
        <v>90</v>
      </c>
      <c r="D329" t="s">
        <v>84</v>
      </c>
    </row>
    <row r="330" spans="1:10" x14ac:dyDescent="0.35">
      <c r="C330" t="s">
        <v>133</v>
      </c>
      <c r="D330" t="s">
        <v>121</v>
      </c>
    </row>
    <row r="331" spans="1:10" x14ac:dyDescent="0.35">
      <c r="C331" t="s">
        <v>91</v>
      </c>
      <c r="D331" s="7">
        <v>224000</v>
      </c>
    </row>
    <row r="332" spans="1:10" x14ac:dyDescent="0.35">
      <c r="C332" t="s">
        <v>92</v>
      </c>
      <c r="D332" s="3">
        <v>7.7499999999999999E-2</v>
      </c>
    </row>
    <row r="333" spans="1:10" x14ac:dyDescent="0.35">
      <c r="C333" t="s">
        <v>93</v>
      </c>
      <c r="D333">
        <f>D327-D326</f>
        <v>731</v>
      </c>
    </row>
    <row r="334" spans="1:10" x14ac:dyDescent="0.35">
      <c r="C334" t="s">
        <v>94</v>
      </c>
      <c r="D334">
        <v>3</v>
      </c>
    </row>
    <row r="336" spans="1:10" x14ac:dyDescent="0.35">
      <c r="C336" t="s">
        <v>95</v>
      </c>
      <c r="D336" t="s">
        <v>96</v>
      </c>
      <c r="E336" t="s">
        <v>97</v>
      </c>
      <c r="F336" t="s">
        <v>98</v>
      </c>
      <c r="G336" t="s">
        <v>99</v>
      </c>
    </row>
    <row r="337" spans="1:10" x14ac:dyDescent="0.35">
      <c r="C337" s="1">
        <f>D326</f>
        <v>44927</v>
      </c>
      <c r="D337" s="2">
        <f>EDATE(C337,6)</f>
        <v>45108</v>
      </c>
      <c r="E337" s="2">
        <f>EDATE(C337,12)</f>
        <v>45292</v>
      </c>
      <c r="F337">
        <f>D337-C337</f>
        <v>181</v>
      </c>
      <c r="G337">
        <f>E337-C337</f>
        <v>365</v>
      </c>
      <c r="I337" s="19" t="s">
        <v>100</v>
      </c>
      <c r="J337" s="22">
        <f>$D$331*$D$332*F337/G337</f>
        <v>8608.6575342465749</v>
      </c>
    </row>
    <row r="338" spans="1:10" x14ac:dyDescent="0.35">
      <c r="C338" s="2">
        <f>D337</f>
        <v>45108</v>
      </c>
      <c r="D338" s="2">
        <f>EDATE(C338,6)</f>
        <v>45292</v>
      </c>
      <c r="E338" s="2">
        <f t="shared" ref="E338:E340" si="46">EDATE(C338,12)</f>
        <v>45474</v>
      </c>
      <c r="F338">
        <f t="shared" ref="F338:F340" si="47">D338-C338</f>
        <v>184</v>
      </c>
      <c r="G338">
        <f t="shared" ref="G338:G340" si="48">E338-C338</f>
        <v>366</v>
      </c>
      <c r="I338" s="19" t="s">
        <v>132</v>
      </c>
      <c r="J338" s="22">
        <f t="shared" ref="J338:J340" si="49">$D$331*$D$332*F338/G338</f>
        <v>8727.4316939890705</v>
      </c>
    </row>
    <row r="339" spans="1:10" x14ac:dyDescent="0.35">
      <c r="C339" s="2">
        <f t="shared" ref="C339:C340" si="50">D338</f>
        <v>45292</v>
      </c>
      <c r="D339" s="2">
        <f t="shared" ref="D339:D340" si="51">EDATE(C339,6)</f>
        <v>45474</v>
      </c>
      <c r="E339" s="2">
        <f t="shared" si="46"/>
        <v>45658</v>
      </c>
      <c r="F339">
        <f t="shared" si="47"/>
        <v>182</v>
      </c>
      <c r="G339">
        <f t="shared" si="48"/>
        <v>366</v>
      </c>
      <c r="I339" s="19" t="s">
        <v>102</v>
      </c>
      <c r="J339" s="22">
        <f t="shared" si="49"/>
        <v>8632.5683060109295</v>
      </c>
    </row>
    <row r="340" spans="1:10" x14ac:dyDescent="0.35">
      <c r="C340" s="2">
        <f t="shared" si="50"/>
        <v>45474</v>
      </c>
      <c r="D340" s="2">
        <f t="shared" si="51"/>
        <v>45658</v>
      </c>
      <c r="E340" s="2">
        <f t="shared" si="46"/>
        <v>45839</v>
      </c>
      <c r="F340">
        <f t="shared" si="47"/>
        <v>184</v>
      </c>
      <c r="G340">
        <f t="shared" si="48"/>
        <v>365</v>
      </c>
      <c r="I340" s="19" t="s">
        <v>103</v>
      </c>
      <c r="J340" s="22">
        <f t="shared" si="49"/>
        <v>8751.3424657534251</v>
      </c>
    </row>
    <row r="342" spans="1:10" x14ac:dyDescent="0.35">
      <c r="A342">
        <v>18</v>
      </c>
      <c r="B342" t="s">
        <v>278</v>
      </c>
      <c r="C342" t="s">
        <v>82</v>
      </c>
      <c r="D342" s="1">
        <v>46014</v>
      </c>
    </row>
    <row r="343" spans="1:10" x14ac:dyDescent="0.35">
      <c r="C343" t="s">
        <v>83</v>
      </c>
      <c r="D343" s="2">
        <v>46103</v>
      </c>
    </row>
    <row r="344" spans="1:10" x14ac:dyDescent="0.35">
      <c r="C344" t="s">
        <v>89</v>
      </c>
      <c r="D344" t="s">
        <v>85</v>
      </c>
    </row>
    <row r="345" spans="1:10" x14ac:dyDescent="0.35">
      <c r="C345" t="s">
        <v>90</v>
      </c>
      <c r="D345" t="s">
        <v>84</v>
      </c>
    </row>
    <row r="346" spans="1:10" x14ac:dyDescent="0.35">
      <c r="C346" t="s">
        <v>133</v>
      </c>
      <c r="D346" t="s">
        <v>211</v>
      </c>
    </row>
    <row r="347" spans="1:10" x14ac:dyDescent="0.35">
      <c r="C347" t="s">
        <v>91</v>
      </c>
      <c r="D347" s="7">
        <v>124565</v>
      </c>
    </row>
    <row r="348" spans="1:10" x14ac:dyDescent="0.35">
      <c r="C348" t="s">
        <v>92</v>
      </c>
      <c r="D348" s="3">
        <v>4.3999999999999997E-2</v>
      </c>
    </row>
    <row r="349" spans="1:10" x14ac:dyDescent="0.35">
      <c r="C349" t="s">
        <v>93</v>
      </c>
      <c r="D349">
        <f>D343-D342</f>
        <v>89</v>
      </c>
    </row>
    <row r="350" spans="1:10" x14ac:dyDescent="0.35">
      <c r="C350" t="s">
        <v>94</v>
      </c>
      <c r="D350">
        <f>D349/365</f>
        <v>0.24383561643835616</v>
      </c>
    </row>
    <row r="352" spans="1:10" x14ac:dyDescent="0.35">
      <c r="C352" t="s">
        <v>95</v>
      </c>
      <c r="D352" t="s">
        <v>96</v>
      </c>
    </row>
    <row r="353" spans="1:4" x14ac:dyDescent="0.35">
      <c r="C353" s="1">
        <f>D342</f>
        <v>46014</v>
      </c>
      <c r="D353" s="2">
        <f>D343</f>
        <v>46103</v>
      </c>
    </row>
    <row r="355" spans="1:4" x14ac:dyDescent="0.35">
      <c r="C355" t="s">
        <v>212</v>
      </c>
      <c r="D355">
        <f>(1+D348/4)^(4*D350)</f>
        <v>1.0107273175624041</v>
      </c>
    </row>
    <row r="356" spans="1:4" x14ac:dyDescent="0.35">
      <c r="C356" s="19" t="s">
        <v>213</v>
      </c>
      <c r="D356" s="22">
        <f>D347*D355</f>
        <v>125901.24831216087</v>
      </c>
    </row>
    <row r="357" spans="1:4" x14ac:dyDescent="0.35">
      <c r="C357" t="s">
        <v>214</v>
      </c>
      <c r="D357" s="4">
        <f>D356-D347</f>
        <v>1336.2483121608675</v>
      </c>
    </row>
    <row r="359" spans="1:4" x14ac:dyDescent="0.35">
      <c r="A359">
        <v>19</v>
      </c>
      <c r="B359" t="s">
        <v>279</v>
      </c>
      <c r="C359" s="33" t="s">
        <v>285</v>
      </c>
    </row>
    <row r="361" spans="1:4" x14ac:dyDescent="0.35">
      <c r="A361">
        <v>20</v>
      </c>
      <c r="B361" t="s">
        <v>280</v>
      </c>
      <c r="C361" t="s">
        <v>82</v>
      </c>
      <c r="D361" s="1">
        <v>45260</v>
      </c>
    </row>
    <row r="362" spans="1:4" x14ac:dyDescent="0.35">
      <c r="C362" t="s">
        <v>83</v>
      </c>
      <c r="D362" s="2">
        <f>EDATE(D361,24)</f>
        <v>45991</v>
      </c>
    </row>
    <row r="363" spans="1:4" x14ac:dyDescent="0.35">
      <c r="C363" t="s">
        <v>122</v>
      </c>
      <c r="D363" s="2" t="s">
        <v>125</v>
      </c>
    </row>
    <row r="364" spans="1:4" x14ac:dyDescent="0.35">
      <c r="C364" t="s">
        <v>89</v>
      </c>
      <c r="D364" t="s">
        <v>85</v>
      </c>
    </row>
    <row r="365" spans="1:4" x14ac:dyDescent="0.35">
      <c r="C365" t="s">
        <v>90</v>
      </c>
      <c r="D365" t="s">
        <v>84</v>
      </c>
    </row>
    <row r="366" spans="1:4" x14ac:dyDescent="0.35">
      <c r="C366" t="s">
        <v>91</v>
      </c>
      <c r="D366" s="7">
        <v>350000</v>
      </c>
    </row>
    <row r="367" spans="1:4" x14ac:dyDescent="0.35">
      <c r="C367" t="s">
        <v>92</v>
      </c>
      <c r="D367" s="3">
        <v>7.7499999999999999E-2</v>
      </c>
    </row>
    <row r="368" spans="1:4" x14ac:dyDescent="0.35">
      <c r="C368" t="s">
        <v>93</v>
      </c>
      <c r="D368">
        <f>D362-D361</f>
        <v>731</v>
      </c>
    </row>
    <row r="369" spans="3:10" x14ac:dyDescent="0.35">
      <c r="C369" t="s">
        <v>94</v>
      </c>
      <c r="D369">
        <v>2</v>
      </c>
    </row>
    <row r="371" spans="3:10" x14ac:dyDescent="0.35">
      <c r="C371" t="s">
        <v>112</v>
      </c>
      <c r="D371" s="1">
        <v>45478</v>
      </c>
    </row>
    <row r="372" spans="3:10" x14ac:dyDescent="0.35">
      <c r="C372" t="s">
        <v>113</v>
      </c>
      <c r="D372">
        <f>D371-D361</f>
        <v>218</v>
      </c>
    </row>
    <row r="373" spans="3:10" x14ac:dyDescent="0.35">
      <c r="C373" t="s">
        <v>114</v>
      </c>
      <c r="D373" s="3">
        <v>0.08</v>
      </c>
    </row>
    <row r="374" spans="3:10" x14ac:dyDescent="0.35">
      <c r="C374" t="s">
        <v>115</v>
      </c>
      <c r="D374" s="3">
        <v>5.0000000000000001E-3</v>
      </c>
    </row>
    <row r="375" spans="3:10" x14ac:dyDescent="0.35">
      <c r="C375" t="s">
        <v>118</v>
      </c>
      <c r="D375" s="2">
        <f>EDATE(D361,12)</f>
        <v>45626</v>
      </c>
    </row>
    <row r="376" spans="3:10" x14ac:dyDescent="0.35">
      <c r="C376" t="s">
        <v>119</v>
      </c>
      <c r="D376" s="12">
        <f>D375-D361</f>
        <v>366</v>
      </c>
    </row>
    <row r="377" spans="3:10" x14ac:dyDescent="0.35">
      <c r="C377" t="s">
        <v>116</v>
      </c>
      <c r="D377" s="3">
        <f>MIN(D367,D373)-D374</f>
        <v>7.2499999999999995E-2</v>
      </c>
    </row>
    <row r="378" spans="3:10" x14ac:dyDescent="0.35">
      <c r="D378" s="3"/>
    </row>
    <row r="379" spans="3:10" x14ac:dyDescent="0.35">
      <c r="C379" t="s">
        <v>117</v>
      </c>
      <c r="D379" s="4">
        <f>D366+D366*D377*D372/D376</f>
        <v>365114.07103825139</v>
      </c>
    </row>
    <row r="381" spans="3:10" x14ac:dyDescent="0.35">
      <c r="C381" t="s">
        <v>95</v>
      </c>
      <c r="D381" t="s">
        <v>96</v>
      </c>
      <c r="E381" t="s">
        <v>97</v>
      </c>
      <c r="F381" t="s">
        <v>98</v>
      </c>
      <c r="G381" t="s">
        <v>99</v>
      </c>
    </row>
    <row r="382" spans="3:10" x14ac:dyDescent="0.35">
      <c r="C382" s="1">
        <f>D361</f>
        <v>45260</v>
      </c>
      <c r="D382" s="2">
        <f>EDATE(C382,3)</f>
        <v>45351</v>
      </c>
      <c r="E382" s="2">
        <f>EDATE(C382,12)</f>
        <v>45626</v>
      </c>
      <c r="F382">
        <f>D382-C382</f>
        <v>91</v>
      </c>
      <c r="G382">
        <f>E382-C382</f>
        <v>366</v>
      </c>
      <c r="I382" t="s">
        <v>100</v>
      </c>
      <c r="J382" s="4">
        <f>$D$366*$D$367*F382/G382</f>
        <v>6744.1939890710382</v>
      </c>
    </row>
    <row r="383" spans="3:10" x14ac:dyDescent="0.35">
      <c r="C383" s="2">
        <f>D382</f>
        <v>45351</v>
      </c>
      <c r="D383" s="2">
        <v>45442</v>
      </c>
      <c r="E383" s="2">
        <f t="shared" ref="E383" si="52">EDATE(C383,12)</f>
        <v>45716</v>
      </c>
      <c r="F383">
        <f t="shared" ref="F383" si="53">D383-C383</f>
        <v>91</v>
      </c>
      <c r="G383">
        <f t="shared" ref="G383" si="54">E383-C383</f>
        <v>365</v>
      </c>
      <c r="I383" t="s">
        <v>101</v>
      </c>
      <c r="J383" s="4">
        <f>$D$366*$D$367*F383/G383</f>
        <v>6762.6712328767126</v>
      </c>
    </row>
    <row r="384" spans="3:10" x14ac:dyDescent="0.35">
      <c r="C384" s="2"/>
      <c r="D384" s="2"/>
      <c r="E384" s="2"/>
    </row>
    <row r="385" spans="1:5" x14ac:dyDescent="0.35">
      <c r="C385" s="2"/>
      <c r="D385" s="2"/>
      <c r="E385" s="2"/>
    </row>
    <row r="386" spans="1:5" x14ac:dyDescent="0.35">
      <c r="C386" s="2"/>
      <c r="D386" s="2"/>
      <c r="E386" s="2"/>
    </row>
    <row r="387" spans="1:5" x14ac:dyDescent="0.35">
      <c r="C387" s="2"/>
      <c r="D387" s="2"/>
      <c r="E387" s="2"/>
    </row>
    <row r="389" spans="1:5" x14ac:dyDescent="0.35">
      <c r="C389" s="8" t="s">
        <v>128</v>
      </c>
      <c r="D389" s="20">
        <f>D379-SUM(J382:J383)</f>
        <v>351607.20581630361</v>
      </c>
    </row>
    <row r="390" spans="1:5" x14ac:dyDescent="0.35">
      <c r="D390" t="s">
        <v>281</v>
      </c>
    </row>
    <row r="392" spans="1:5" x14ac:dyDescent="0.35">
      <c r="A392">
        <v>21</v>
      </c>
      <c r="B392" t="s">
        <v>282</v>
      </c>
      <c r="C392" t="s">
        <v>82</v>
      </c>
      <c r="D392" s="1">
        <v>45334</v>
      </c>
    </row>
    <row r="393" spans="1:5" x14ac:dyDescent="0.35">
      <c r="C393" t="s">
        <v>83</v>
      </c>
      <c r="D393" s="2">
        <f>EDATE(D392,36)</f>
        <v>46430</v>
      </c>
    </row>
    <row r="394" spans="1:5" x14ac:dyDescent="0.35">
      <c r="C394" t="s">
        <v>89</v>
      </c>
      <c r="D394" t="s">
        <v>85</v>
      </c>
    </row>
    <row r="395" spans="1:5" x14ac:dyDescent="0.35">
      <c r="C395" t="s">
        <v>90</v>
      </c>
      <c r="D395" t="s">
        <v>86</v>
      </c>
    </row>
    <row r="396" spans="1:5" x14ac:dyDescent="0.35">
      <c r="C396" t="s">
        <v>133</v>
      </c>
      <c r="D396" t="s">
        <v>125</v>
      </c>
    </row>
    <row r="397" spans="1:5" x14ac:dyDescent="0.35">
      <c r="C397" t="s">
        <v>91</v>
      </c>
      <c r="D397" s="7">
        <v>100000</v>
      </c>
    </row>
    <row r="398" spans="1:5" x14ac:dyDescent="0.35">
      <c r="C398" t="s">
        <v>92</v>
      </c>
      <c r="D398" s="3">
        <v>0.08</v>
      </c>
    </row>
    <row r="399" spans="1:5" x14ac:dyDescent="0.35">
      <c r="C399" t="s">
        <v>93</v>
      </c>
      <c r="D399">
        <f>D393-D392</f>
        <v>1096</v>
      </c>
    </row>
    <row r="400" spans="1:5" x14ac:dyDescent="0.35">
      <c r="C400" t="s">
        <v>94</v>
      </c>
      <c r="D400">
        <v>3</v>
      </c>
    </row>
    <row r="402" spans="3:10" x14ac:dyDescent="0.35">
      <c r="C402" t="s">
        <v>95</v>
      </c>
      <c r="D402" t="s">
        <v>96</v>
      </c>
      <c r="E402" t="s">
        <v>97</v>
      </c>
      <c r="F402" t="s">
        <v>98</v>
      </c>
      <c r="G402" t="s">
        <v>99</v>
      </c>
    </row>
    <row r="403" spans="3:10" x14ac:dyDescent="0.35">
      <c r="C403" s="1">
        <f>D392</f>
        <v>45334</v>
      </c>
      <c r="D403" s="2">
        <f t="shared" ref="D403:D410" si="55">EDATE(C403,3)</f>
        <v>45424</v>
      </c>
      <c r="E403" s="1">
        <f>EDATE(C403,12)</f>
        <v>45700</v>
      </c>
      <c r="F403">
        <f>D403-C403</f>
        <v>90</v>
      </c>
      <c r="G403">
        <f>E403-C403</f>
        <v>366</v>
      </c>
      <c r="I403" s="8" t="s">
        <v>100</v>
      </c>
      <c r="J403" s="9">
        <f>$D$397*$D$398*F403/G403</f>
        <v>1967.2131147540983</v>
      </c>
    </row>
    <row r="404" spans="3:10" x14ac:dyDescent="0.35">
      <c r="C404" s="2">
        <f t="shared" ref="C404:C410" si="56">D403</f>
        <v>45424</v>
      </c>
      <c r="D404" s="2">
        <f t="shared" si="55"/>
        <v>45516</v>
      </c>
      <c r="E404" s="1">
        <f t="shared" ref="E404:E410" si="57">EDATE(C404,12)</f>
        <v>45789</v>
      </c>
      <c r="F404">
        <f t="shared" ref="F404:F410" si="58">D404-C404</f>
        <v>92</v>
      </c>
      <c r="G404">
        <f t="shared" ref="G404:G410" si="59">E404-C404</f>
        <v>365</v>
      </c>
      <c r="I404" s="8" t="s">
        <v>101</v>
      </c>
      <c r="J404" s="9">
        <f t="shared" ref="J404:J410" si="60">$D$397*$D$398*F404/G404</f>
        <v>2016.4383561643835</v>
      </c>
    </row>
    <row r="405" spans="3:10" x14ac:dyDescent="0.35">
      <c r="C405" s="2">
        <f t="shared" si="56"/>
        <v>45516</v>
      </c>
      <c r="D405" s="2">
        <f t="shared" si="55"/>
        <v>45608</v>
      </c>
      <c r="E405" s="1">
        <f t="shared" si="57"/>
        <v>45881</v>
      </c>
      <c r="F405">
        <f t="shared" si="58"/>
        <v>92</v>
      </c>
      <c r="G405">
        <f t="shared" si="59"/>
        <v>365</v>
      </c>
      <c r="I405" s="8" t="s">
        <v>102</v>
      </c>
      <c r="J405" s="9">
        <f t="shared" si="60"/>
        <v>2016.4383561643835</v>
      </c>
    </row>
    <row r="406" spans="3:10" x14ac:dyDescent="0.35">
      <c r="C406" s="2">
        <f t="shared" si="56"/>
        <v>45608</v>
      </c>
      <c r="D406" s="2">
        <f t="shared" si="55"/>
        <v>45700</v>
      </c>
      <c r="E406" s="1">
        <f t="shared" si="57"/>
        <v>45973</v>
      </c>
      <c r="F406">
        <f t="shared" si="58"/>
        <v>92</v>
      </c>
      <c r="G406">
        <f t="shared" si="59"/>
        <v>365</v>
      </c>
      <c r="I406" s="8" t="s">
        <v>103</v>
      </c>
      <c r="J406" s="9">
        <f t="shared" si="60"/>
        <v>2016.4383561643835</v>
      </c>
    </row>
    <row r="407" spans="3:10" x14ac:dyDescent="0.35">
      <c r="C407" s="2">
        <f t="shared" si="56"/>
        <v>45700</v>
      </c>
      <c r="D407" s="2">
        <f t="shared" si="55"/>
        <v>45789</v>
      </c>
      <c r="E407" s="1">
        <f t="shared" si="57"/>
        <v>46065</v>
      </c>
      <c r="F407">
        <f t="shared" si="58"/>
        <v>89</v>
      </c>
      <c r="G407">
        <f t="shared" si="59"/>
        <v>365</v>
      </c>
      <c r="I407" s="8" t="s">
        <v>104</v>
      </c>
      <c r="J407" s="9">
        <f t="shared" si="60"/>
        <v>1950.6849315068494</v>
      </c>
    </row>
    <row r="408" spans="3:10" x14ac:dyDescent="0.35">
      <c r="C408" s="2">
        <f t="shared" si="56"/>
        <v>45789</v>
      </c>
      <c r="D408" s="2">
        <f t="shared" si="55"/>
        <v>45881</v>
      </c>
      <c r="E408" s="1">
        <f t="shared" si="57"/>
        <v>46154</v>
      </c>
      <c r="F408">
        <f t="shared" si="58"/>
        <v>92</v>
      </c>
      <c r="G408">
        <f t="shared" si="59"/>
        <v>365</v>
      </c>
      <c r="I408" s="8" t="s">
        <v>105</v>
      </c>
      <c r="J408" s="9">
        <f t="shared" si="60"/>
        <v>2016.4383561643835</v>
      </c>
    </row>
    <row r="409" spans="3:10" x14ac:dyDescent="0.35">
      <c r="C409" s="2">
        <f t="shared" si="56"/>
        <v>45881</v>
      </c>
      <c r="D409" s="2">
        <f t="shared" si="55"/>
        <v>45973</v>
      </c>
      <c r="E409" s="1">
        <f t="shared" si="57"/>
        <v>46246</v>
      </c>
      <c r="F409">
        <f t="shared" si="58"/>
        <v>92</v>
      </c>
      <c r="G409">
        <f t="shared" si="59"/>
        <v>365</v>
      </c>
      <c r="I409" s="8" t="s">
        <v>106</v>
      </c>
      <c r="J409" s="9">
        <f t="shared" si="60"/>
        <v>2016.4383561643835</v>
      </c>
    </row>
    <row r="410" spans="3:10" x14ac:dyDescent="0.35">
      <c r="C410" s="2">
        <f t="shared" si="56"/>
        <v>45973</v>
      </c>
      <c r="D410" s="2">
        <f t="shared" si="55"/>
        <v>46065</v>
      </c>
      <c r="E410" s="1">
        <f t="shared" si="57"/>
        <v>46338</v>
      </c>
      <c r="F410">
        <f t="shared" si="58"/>
        <v>92</v>
      </c>
      <c r="G410">
        <f t="shared" si="59"/>
        <v>365</v>
      </c>
      <c r="I410" s="8" t="s">
        <v>107</v>
      </c>
      <c r="J410" s="9">
        <f t="shared" si="60"/>
        <v>2016.4383561643835</v>
      </c>
    </row>
    <row r="412" spans="3:10" x14ac:dyDescent="0.35">
      <c r="D412" s="19" t="s">
        <v>283</v>
      </c>
      <c r="E412" s="28">
        <f>J408</f>
        <v>2016.4383561643835</v>
      </c>
    </row>
    <row r="413" spans="3:10" x14ac:dyDescent="0.35">
      <c r="D413" s="19" t="s">
        <v>284</v>
      </c>
      <c r="E413" s="28">
        <f>J410</f>
        <v>2016.4383561643835</v>
      </c>
    </row>
  </sheetData>
  <mergeCells count="1">
    <mergeCell ref="C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366B-DE53-4A71-897B-CF6743CA7664}">
  <dimension ref="A1:L1630"/>
  <sheetViews>
    <sheetView workbookViewId="0">
      <selection activeCell="C1" sqref="C1:J1"/>
    </sheetView>
  </sheetViews>
  <sheetFormatPr defaultRowHeight="14.5" x14ac:dyDescent="0.35"/>
  <cols>
    <col min="2" max="2" width="15.90625" customWidth="1"/>
    <col min="3" max="3" width="28.81640625" bestFit="1" customWidth="1"/>
    <col min="4" max="4" width="26.1796875" bestFit="1" customWidth="1"/>
    <col min="5" max="5" width="14.54296875" bestFit="1" customWidth="1"/>
    <col min="6" max="6" width="13.7265625" bestFit="1" customWidth="1"/>
    <col min="7" max="7" width="12.1796875" bestFit="1" customWidth="1"/>
    <col min="9" max="9" width="10.08984375" bestFit="1" customWidth="1"/>
    <col min="10" max="10" width="13.81640625" bestFit="1" customWidth="1"/>
    <col min="12" max="12" width="10.7265625" bestFit="1" customWidth="1"/>
  </cols>
  <sheetData>
    <row r="1" spans="1:10" x14ac:dyDescent="0.35">
      <c r="A1" t="s">
        <v>0</v>
      </c>
      <c r="B1" t="s">
        <v>1</v>
      </c>
      <c r="C1" s="50" t="s">
        <v>88</v>
      </c>
      <c r="D1" s="50"/>
      <c r="E1" s="50"/>
      <c r="F1" s="50"/>
      <c r="G1" s="50"/>
      <c r="H1" s="50"/>
      <c r="I1" s="50"/>
      <c r="J1" s="50"/>
    </row>
    <row r="2" spans="1:10" x14ac:dyDescent="0.35">
      <c r="A2">
        <v>22</v>
      </c>
      <c r="B2" t="s">
        <v>2</v>
      </c>
      <c r="C2" t="s">
        <v>82</v>
      </c>
      <c r="D2" s="1">
        <v>45748</v>
      </c>
    </row>
    <row r="3" spans="1:10" x14ac:dyDescent="0.35">
      <c r="C3" t="s">
        <v>83</v>
      </c>
      <c r="D3" s="2">
        <f>EDATE(D2,24)</f>
        <v>46478</v>
      </c>
    </row>
    <row r="4" spans="1:10" x14ac:dyDescent="0.35">
      <c r="C4" t="s">
        <v>89</v>
      </c>
      <c r="D4" t="s">
        <v>85</v>
      </c>
    </row>
    <row r="5" spans="1:10" x14ac:dyDescent="0.35">
      <c r="C5" t="s">
        <v>90</v>
      </c>
      <c r="D5" t="s">
        <v>84</v>
      </c>
    </row>
    <row r="6" spans="1:10" x14ac:dyDescent="0.35">
      <c r="C6" t="s">
        <v>91</v>
      </c>
      <c r="D6" s="7">
        <v>100000</v>
      </c>
    </row>
    <row r="7" spans="1:10" x14ac:dyDescent="0.35">
      <c r="C7" t="s">
        <v>92</v>
      </c>
      <c r="D7" s="3">
        <v>6.9500000000000006E-2</v>
      </c>
    </row>
    <row r="8" spans="1:10" x14ac:dyDescent="0.35">
      <c r="C8" t="s">
        <v>93</v>
      </c>
      <c r="D8">
        <f>D3-D2</f>
        <v>730</v>
      </c>
    </row>
    <row r="9" spans="1:10" x14ac:dyDescent="0.35">
      <c r="C9" t="s">
        <v>94</v>
      </c>
      <c r="D9">
        <v>2</v>
      </c>
    </row>
    <row r="11" spans="1:10" x14ac:dyDescent="0.35">
      <c r="C11" t="s">
        <v>95</v>
      </c>
      <c r="D11" t="s">
        <v>96</v>
      </c>
      <c r="E11" t="s">
        <v>97</v>
      </c>
      <c r="F11" t="s">
        <v>98</v>
      </c>
      <c r="G11" t="s">
        <v>99</v>
      </c>
    </row>
    <row r="12" spans="1:10" x14ac:dyDescent="0.35">
      <c r="C12" s="1">
        <v>45748</v>
      </c>
      <c r="D12" s="2">
        <f t="shared" ref="D12:D19" si="0">EDATE(C12,3)</f>
        <v>45839</v>
      </c>
      <c r="E12" s="1">
        <f>EDATE(C12,12)</f>
        <v>46113</v>
      </c>
      <c r="F12">
        <f>D12-C12</f>
        <v>91</v>
      </c>
      <c r="G12">
        <f>E12-C12</f>
        <v>365</v>
      </c>
      <c r="I12" s="8" t="s">
        <v>100</v>
      </c>
      <c r="J12" s="9">
        <f>$D$6*$D$7*F12/G12</f>
        <v>1732.7397260273976</v>
      </c>
    </row>
    <row r="13" spans="1:10" x14ac:dyDescent="0.35">
      <c r="C13" s="2">
        <f t="shared" ref="C13:C19" si="1">D12</f>
        <v>45839</v>
      </c>
      <c r="D13" s="2">
        <f t="shared" si="0"/>
        <v>45931</v>
      </c>
      <c r="E13" s="1">
        <f t="shared" ref="E13:E19" si="2">EDATE(C13,12)</f>
        <v>46204</v>
      </c>
      <c r="F13">
        <f t="shared" ref="F13:F19" si="3">D13-C13</f>
        <v>92</v>
      </c>
      <c r="G13">
        <f t="shared" ref="G13:G19" si="4">E13-C13</f>
        <v>365</v>
      </c>
      <c r="I13" s="8" t="s">
        <v>101</v>
      </c>
      <c r="J13" s="9">
        <f t="shared" ref="J13:J19" si="5">$D$6*$D$7*F13/G13</f>
        <v>1751.7808219178085</v>
      </c>
    </row>
    <row r="14" spans="1:10" x14ac:dyDescent="0.35">
      <c r="C14" s="2">
        <f t="shared" si="1"/>
        <v>45931</v>
      </c>
      <c r="D14" s="2">
        <f t="shared" si="0"/>
        <v>46023</v>
      </c>
      <c r="E14" s="1">
        <f t="shared" si="2"/>
        <v>46296</v>
      </c>
      <c r="F14">
        <f t="shared" si="3"/>
        <v>92</v>
      </c>
      <c r="G14">
        <f t="shared" si="4"/>
        <v>365</v>
      </c>
      <c r="I14" s="8" t="s">
        <v>102</v>
      </c>
      <c r="J14" s="9">
        <f t="shared" si="5"/>
        <v>1751.7808219178085</v>
      </c>
    </row>
    <row r="15" spans="1:10" x14ac:dyDescent="0.35">
      <c r="C15" s="2">
        <f t="shared" si="1"/>
        <v>46023</v>
      </c>
      <c r="D15" s="2">
        <f t="shared" si="0"/>
        <v>46113</v>
      </c>
      <c r="E15" s="1">
        <f t="shared" si="2"/>
        <v>46388</v>
      </c>
      <c r="F15">
        <f t="shared" si="3"/>
        <v>90</v>
      </c>
      <c r="G15">
        <f t="shared" si="4"/>
        <v>365</v>
      </c>
      <c r="I15" s="8" t="s">
        <v>103</v>
      </c>
      <c r="J15" s="9">
        <f t="shared" si="5"/>
        <v>1713.6986301369866</v>
      </c>
    </row>
    <row r="16" spans="1:10" x14ac:dyDescent="0.35">
      <c r="C16" s="2">
        <f t="shared" si="1"/>
        <v>46113</v>
      </c>
      <c r="D16" s="2">
        <f t="shared" si="0"/>
        <v>46204</v>
      </c>
      <c r="E16" s="1">
        <f t="shared" si="2"/>
        <v>46478</v>
      </c>
      <c r="F16">
        <f t="shared" si="3"/>
        <v>91</v>
      </c>
      <c r="G16">
        <f t="shared" si="4"/>
        <v>365</v>
      </c>
      <c r="I16" s="8" t="s">
        <v>104</v>
      </c>
      <c r="J16" s="9">
        <f t="shared" si="5"/>
        <v>1732.7397260273976</v>
      </c>
    </row>
    <row r="17" spans="1:10" x14ac:dyDescent="0.35">
      <c r="C17" s="2">
        <f t="shared" si="1"/>
        <v>46204</v>
      </c>
      <c r="D17" s="2">
        <f t="shared" si="0"/>
        <v>46296</v>
      </c>
      <c r="E17" s="1">
        <f t="shared" si="2"/>
        <v>46569</v>
      </c>
      <c r="F17">
        <f t="shared" si="3"/>
        <v>92</v>
      </c>
      <c r="G17">
        <f t="shared" si="4"/>
        <v>365</v>
      </c>
      <c r="I17" s="8" t="s">
        <v>105</v>
      </c>
      <c r="J17" s="9">
        <f t="shared" si="5"/>
        <v>1751.7808219178085</v>
      </c>
    </row>
    <row r="18" spans="1:10" x14ac:dyDescent="0.35">
      <c r="C18" s="2">
        <f t="shared" si="1"/>
        <v>46296</v>
      </c>
      <c r="D18" s="2">
        <f t="shared" si="0"/>
        <v>46388</v>
      </c>
      <c r="E18" s="1">
        <f t="shared" si="2"/>
        <v>46661</v>
      </c>
      <c r="F18">
        <f t="shared" si="3"/>
        <v>92</v>
      </c>
      <c r="G18">
        <f t="shared" si="4"/>
        <v>365</v>
      </c>
      <c r="I18" s="8" t="s">
        <v>106</v>
      </c>
      <c r="J18" s="9">
        <f t="shared" si="5"/>
        <v>1751.7808219178085</v>
      </c>
    </row>
    <row r="19" spans="1:10" x14ac:dyDescent="0.35">
      <c r="C19" s="2">
        <f t="shared" si="1"/>
        <v>46388</v>
      </c>
      <c r="D19" s="2">
        <f t="shared" si="0"/>
        <v>46478</v>
      </c>
      <c r="E19" s="1">
        <f t="shared" si="2"/>
        <v>46753</v>
      </c>
      <c r="F19">
        <f t="shared" si="3"/>
        <v>90</v>
      </c>
      <c r="G19">
        <f t="shared" si="4"/>
        <v>365</v>
      </c>
      <c r="I19" s="8" t="s">
        <v>107</v>
      </c>
      <c r="J19" s="9">
        <f t="shared" si="5"/>
        <v>1713.6986301369866</v>
      </c>
    </row>
    <row r="20" spans="1:10" x14ac:dyDescent="0.35">
      <c r="C20" s="13" t="s">
        <v>130</v>
      </c>
      <c r="D20" s="8">
        <f>SUM(J12:J19)</f>
        <v>13900.000000000002</v>
      </c>
      <c r="E20" s="1"/>
      <c r="I20" s="8"/>
      <c r="J20" s="9"/>
    </row>
    <row r="22" spans="1:10" x14ac:dyDescent="0.35">
      <c r="A22">
        <v>23</v>
      </c>
      <c r="B22" t="s">
        <v>3</v>
      </c>
      <c r="C22" t="s">
        <v>82</v>
      </c>
      <c r="D22" s="1">
        <v>45731</v>
      </c>
    </row>
    <row r="23" spans="1:10" x14ac:dyDescent="0.35">
      <c r="C23" t="s">
        <v>83</v>
      </c>
      <c r="D23" s="2">
        <f>EDATE(D22,12)</f>
        <v>46096</v>
      </c>
    </row>
    <row r="24" spans="1:10" x14ac:dyDescent="0.35">
      <c r="C24" t="s">
        <v>89</v>
      </c>
      <c r="D24" t="s">
        <v>85</v>
      </c>
    </row>
    <row r="25" spans="1:10" x14ac:dyDescent="0.35">
      <c r="C25" t="s">
        <v>90</v>
      </c>
      <c r="D25" t="s">
        <v>86</v>
      </c>
    </row>
    <row r="26" spans="1:10" x14ac:dyDescent="0.35">
      <c r="C26" t="s">
        <v>91</v>
      </c>
      <c r="D26" s="7">
        <v>75000</v>
      </c>
    </row>
    <row r="27" spans="1:10" x14ac:dyDescent="0.35">
      <c r="C27" t="s">
        <v>92</v>
      </c>
      <c r="D27" s="3">
        <v>7.2499999999999995E-2</v>
      </c>
    </row>
    <row r="28" spans="1:10" x14ac:dyDescent="0.35">
      <c r="C28" t="s">
        <v>93</v>
      </c>
      <c r="D28">
        <f>D23-D22</f>
        <v>365</v>
      </c>
    </row>
    <row r="29" spans="1:10" x14ac:dyDescent="0.35">
      <c r="C29" t="s">
        <v>94</v>
      </c>
      <c r="D29">
        <v>1</v>
      </c>
    </row>
    <row r="31" spans="1:10" x14ac:dyDescent="0.35">
      <c r="C31" t="s">
        <v>95</v>
      </c>
      <c r="D31" t="s">
        <v>96</v>
      </c>
      <c r="E31" t="s">
        <v>97</v>
      </c>
      <c r="F31" t="s">
        <v>98</v>
      </c>
      <c r="G31" t="s">
        <v>99</v>
      </c>
    </row>
    <row r="32" spans="1:10" x14ac:dyDescent="0.35">
      <c r="C32" s="1">
        <v>45731</v>
      </c>
      <c r="D32" s="2">
        <f t="shared" ref="D32" si="6">EDATE(C32,3)</f>
        <v>45823</v>
      </c>
      <c r="E32" s="1">
        <f>EDATE(C32,12)</f>
        <v>46096</v>
      </c>
      <c r="F32">
        <f>D32-C32</f>
        <v>92</v>
      </c>
      <c r="G32">
        <f>E32-C32</f>
        <v>365</v>
      </c>
      <c r="I32" t="s">
        <v>100</v>
      </c>
      <c r="J32" s="7">
        <f>D26*D27*F32/G32</f>
        <v>1370.5479452054794</v>
      </c>
    </row>
    <row r="34" spans="1:10" x14ac:dyDescent="0.35">
      <c r="C34" s="8" t="s">
        <v>108</v>
      </c>
      <c r="D34" s="8">
        <v>1370.5479452054794</v>
      </c>
    </row>
    <row r="36" spans="1:10" x14ac:dyDescent="0.35">
      <c r="A36">
        <v>24</v>
      </c>
      <c r="B36" t="s">
        <v>4</v>
      </c>
      <c r="C36" t="s">
        <v>82</v>
      </c>
      <c r="D36" s="1">
        <v>45292</v>
      </c>
    </row>
    <row r="37" spans="1:10" x14ac:dyDescent="0.35">
      <c r="C37" t="s">
        <v>83</v>
      </c>
      <c r="D37" s="2">
        <f>EDATE(D36,36)</f>
        <v>46388</v>
      </c>
    </row>
    <row r="38" spans="1:10" x14ac:dyDescent="0.35">
      <c r="C38" t="s">
        <v>89</v>
      </c>
      <c r="D38" t="s">
        <v>85</v>
      </c>
    </row>
    <row r="39" spans="1:10" x14ac:dyDescent="0.35">
      <c r="C39" t="s">
        <v>90</v>
      </c>
      <c r="D39" t="s">
        <v>84</v>
      </c>
    </row>
    <row r="40" spans="1:10" x14ac:dyDescent="0.35">
      <c r="C40" t="s">
        <v>91</v>
      </c>
      <c r="D40" s="7">
        <v>200000</v>
      </c>
    </row>
    <row r="41" spans="1:10" x14ac:dyDescent="0.35">
      <c r="C41" t="s">
        <v>92</v>
      </c>
      <c r="D41" s="3">
        <v>7.6999999999999999E-2</v>
      </c>
    </row>
    <row r="42" spans="1:10" x14ac:dyDescent="0.35">
      <c r="C42" t="s">
        <v>93</v>
      </c>
      <c r="D42">
        <f>D37-D36</f>
        <v>1096</v>
      </c>
    </row>
    <row r="43" spans="1:10" x14ac:dyDescent="0.35">
      <c r="C43" t="s">
        <v>94</v>
      </c>
      <c r="D43">
        <v>3</v>
      </c>
    </row>
    <row r="45" spans="1:10" x14ac:dyDescent="0.35">
      <c r="C45" t="s">
        <v>95</v>
      </c>
      <c r="D45" t="s">
        <v>96</v>
      </c>
      <c r="E45" t="s">
        <v>97</v>
      </c>
      <c r="F45" t="s">
        <v>98</v>
      </c>
      <c r="G45" t="s">
        <v>99</v>
      </c>
    </row>
    <row r="46" spans="1:10" x14ac:dyDescent="0.35">
      <c r="C46" s="1">
        <v>45292</v>
      </c>
      <c r="D46" s="2">
        <f t="shared" ref="D46:D52" si="7">EDATE(C46,3)</f>
        <v>45383</v>
      </c>
      <c r="E46" s="1">
        <f>EDATE(C46,12)</f>
        <v>45658</v>
      </c>
      <c r="F46">
        <f>D46-C46</f>
        <v>91</v>
      </c>
      <c r="G46">
        <f>E46-C46</f>
        <v>366</v>
      </c>
      <c r="I46" t="s">
        <v>100</v>
      </c>
      <c r="J46" s="7">
        <f>$D$40*$D$41*F46/G46</f>
        <v>3828.9617486338798</v>
      </c>
    </row>
    <row r="47" spans="1:10" x14ac:dyDescent="0.35">
      <c r="C47" s="2">
        <f t="shared" ref="C47:C52" si="8">D46</f>
        <v>45383</v>
      </c>
      <c r="D47" s="2">
        <f t="shared" si="7"/>
        <v>45474</v>
      </c>
      <c r="E47" s="1">
        <f t="shared" ref="E47:E52" si="9">EDATE(C47,12)</f>
        <v>45748</v>
      </c>
      <c r="F47">
        <f t="shared" ref="F47:F52" si="10">D47-C47</f>
        <v>91</v>
      </c>
      <c r="G47">
        <f t="shared" ref="G47:G52" si="11">E47-C47</f>
        <v>365</v>
      </c>
      <c r="I47" t="s">
        <v>101</v>
      </c>
      <c r="J47" s="7">
        <f t="shared" ref="J47:J52" si="12">$D$40*$D$41*F47/G47</f>
        <v>3839.4520547945203</v>
      </c>
    </row>
    <row r="48" spans="1:10" x14ac:dyDescent="0.35">
      <c r="C48" s="2">
        <f t="shared" si="8"/>
        <v>45474</v>
      </c>
      <c r="D48" s="2">
        <f t="shared" si="7"/>
        <v>45566</v>
      </c>
      <c r="E48" s="1">
        <f t="shared" si="9"/>
        <v>45839</v>
      </c>
      <c r="F48">
        <f t="shared" si="10"/>
        <v>92</v>
      </c>
      <c r="G48">
        <f t="shared" si="11"/>
        <v>365</v>
      </c>
      <c r="I48" t="s">
        <v>102</v>
      </c>
      <c r="J48" s="7">
        <f t="shared" si="12"/>
        <v>3881.6438356164385</v>
      </c>
    </row>
    <row r="49" spans="1:10" x14ac:dyDescent="0.35">
      <c r="C49" s="2">
        <f t="shared" si="8"/>
        <v>45566</v>
      </c>
      <c r="D49" s="2">
        <f t="shared" si="7"/>
        <v>45658</v>
      </c>
      <c r="E49" s="1">
        <f t="shared" si="9"/>
        <v>45931</v>
      </c>
      <c r="F49">
        <f t="shared" si="10"/>
        <v>92</v>
      </c>
      <c r="G49">
        <f t="shared" si="11"/>
        <v>365</v>
      </c>
      <c r="I49" t="s">
        <v>103</v>
      </c>
      <c r="J49" s="7">
        <f t="shared" si="12"/>
        <v>3881.6438356164385</v>
      </c>
    </row>
    <row r="50" spans="1:10" x14ac:dyDescent="0.35">
      <c r="C50" s="2">
        <f t="shared" si="8"/>
        <v>45658</v>
      </c>
      <c r="D50" s="2">
        <f t="shared" si="7"/>
        <v>45748</v>
      </c>
      <c r="E50" s="1">
        <f t="shared" si="9"/>
        <v>46023</v>
      </c>
      <c r="F50">
        <f t="shared" si="10"/>
        <v>90</v>
      </c>
      <c r="G50">
        <f t="shared" si="11"/>
        <v>365</v>
      </c>
      <c r="I50" t="s">
        <v>104</v>
      </c>
      <c r="J50" s="7">
        <f t="shared" si="12"/>
        <v>3797.2602739726026</v>
      </c>
    </row>
    <row r="51" spans="1:10" x14ac:dyDescent="0.35">
      <c r="C51" s="2">
        <f t="shared" si="8"/>
        <v>45748</v>
      </c>
      <c r="D51" s="2">
        <f t="shared" si="7"/>
        <v>45839</v>
      </c>
      <c r="E51" s="1">
        <f t="shared" si="9"/>
        <v>46113</v>
      </c>
      <c r="F51">
        <f t="shared" si="10"/>
        <v>91</v>
      </c>
      <c r="G51">
        <f t="shared" si="11"/>
        <v>365</v>
      </c>
      <c r="I51" t="s">
        <v>105</v>
      </c>
      <c r="J51" s="7">
        <f t="shared" si="12"/>
        <v>3839.4520547945203</v>
      </c>
    </row>
    <row r="52" spans="1:10" x14ac:dyDescent="0.35">
      <c r="C52" s="2">
        <f t="shared" si="8"/>
        <v>45839</v>
      </c>
      <c r="D52" s="2">
        <f t="shared" si="7"/>
        <v>45931</v>
      </c>
      <c r="E52" s="1">
        <f t="shared" si="9"/>
        <v>46204</v>
      </c>
      <c r="F52">
        <f t="shared" si="10"/>
        <v>92</v>
      </c>
      <c r="G52">
        <f t="shared" si="11"/>
        <v>365</v>
      </c>
      <c r="I52" t="s">
        <v>106</v>
      </c>
      <c r="J52" s="7">
        <f t="shared" si="12"/>
        <v>3881.6438356164385</v>
      </c>
    </row>
    <row r="53" spans="1:10" x14ac:dyDescent="0.35">
      <c r="C53" s="2"/>
      <c r="D53" s="2"/>
      <c r="E53" s="1"/>
      <c r="I53" s="10"/>
      <c r="J53" s="11"/>
    </row>
    <row r="54" spans="1:10" x14ac:dyDescent="0.35">
      <c r="C54" s="8" t="s">
        <v>106</v>
      </c>
      <c r="D54" s="9">
        <f>J52</f>
        <v>3881.6438356164385</v>
      </c>
    </row>
    <row r="56" spans="1:10" x14ac:dyDescent="0.35">
      <c r="A56">
        <v>25</v>
      </c>
      <c r="B56" t="s">
        <v>5</v>
      </c>
      <c r="C56" t="s">
        <v>82</v>
      </c>
      <c r="D56" s="1">
        <v>45606</v>
      </c>
    </row>
    <row r="57" spans="1:10" x14ac:dyDescent="0.35">
      <c r="C57" t="s">
        <v>83</v>
      </c>
      <c r="D57" s="2">
        <f>EDATE(D56,24)</f>
        <v>46336</v>
      </c>
    </row>
    <row r="58" spans="1:10" x14ac:dyDescent="0.35">
      <c r="C58" t="s">
        <v>89</v>
      </c>
      <c r="D58" t="s">
        <v>85</v>
      </c>
    </row>
    <row r="59" spans="1:10" x14ac:dyDescent="0.35">
      <c r="C59" t="s">
        <v>90</v>
      </c>
      <c r="D59" t="s">
        <v>86</v>
      </c>
    </row>
    <row r="60" spans="1:10" x14ac:dyDescent="0.35">
      <c r="C60" t="s">
        <v>91</v>
      </c>
      <c r="D60" s="7">
        <v>300000</v>
      </c>
    </row>
    <row r="61" spans="1:10" x14ac:dyDescent="0.35">
      <c r="C61" t="s">
        <v>92</v>
      </c>
      <c r="D61" s="3">
        <v>7.7499999999999999E-2</v>
      </c>
    </row>
    <row r="62" spans="1:10" x14ac:dyDescent="0.35">
      <c r="C62" t="s">
        <v>93</v>
      </c>
      <c r="D62">
        <f>D57-D56</f>
        <v>730</v>
      </c>
    </row>
    <row r="63" spans="1:10" x14ac:dyDescent="0.35">
      <c r="C63" t="s">
        <v>94</v>
      </c>
      <c r="D63">
        <v>2</v>
      </c>
    </row>
    <row r="65" spans="1:10" x14ac:dyDescent="0.35">
      <c r="C65" t="s">
        <v>95</v>
      </c>
      <c r="D65" t="s">
        <v>96</v>
      </c>
      <c r="E65" t="s">
        <v>97</v>
      </c>
      <c r="F65" t="s">
        <v>98</v>
      </c>
      <c r="G65" t="s">
        <v>99</v>
      </c>
    </row>
    <row r="66" spans="1:10" x14ac:dyDescent="0.35">
      <c r="C66" s="1">
        <v>45606</v>
      </c>
      <c r="D66" s="2">
        <f t="shared" ref="D66:D73" si="13">EDATE(C66,3)</f>
        <v>45698</v>
      </c>
      <c r="E66" s="1">
        <f>EDATE(C66,12)</f>
        <v>45971</v>
      </c>
      <c r="F66">
        <f>D66-C66</f>
        <v>92</v>
      </c>
      <c r="G66">
        <f>E66-C66</f>
        <v>365</v>
      </c>
      <c r="I66" t="s">
        <v>100</v>
      </c>
      <c r="J66" s="7">
        <f>$D$60*$D$61*F66/G66</f>
        <v>5860.2739726027394</v>
      </c>
    </row>
    <row r="67" spans="1:10" x14ac:dyDescent="0.35">
      <c r="C67" s="2">
        <f t="shared" ref="C67:C72" si="14">D66</f>
        <v>45698</v>
      </c>
      <c r="D67" s="2">
        <f t="shared" si="13"/>
        <v>45787</v>
      </c>
      <c r="E67" s="1">
        <f t="shared" ref="E67:E73" si="15">EDATE(C67,12)</f>
        <v>46063</v>
      </c>
      <c r="F67">
        <f t="shared" ref="F67:F73" si="16">D67-C67</f>
        <v>89</v>
      </c>
      <c r="G67">
        <f t="shared" ref="G67:G73" si="17">E67-C67</f>
        <v>365</v>
      </c>
      <c r="I67" t="s">
        <v>101</v>
      </c>
      <c r="J67" s="7">
        <f t="shared" ref="J67:J73" si="18">$D$60*$D$61*F67/G67</f>
        <v>5669.178082191781</v>
      </c>
    </row>
    <row r="68" spans="1:10" x14ac:dyDescent="0.35">
      <c r="C68" s="2">
        <f t="shared" si="14"/>
        <v>45787</v>
      </c>
      <c r="D68" s="2">
        <f t="shared" si="13"/>
        <v>45879</v>
      </c>
      <c r="E68" s="1">
        <f t="shared" si="15"/>
        <v>46152</v>
      </c>
      <c r="F68">
        <f t="shared" si="16"/>
        <v>92</v>
      </c>
      <c r="G68">
        <f t="shared" si="17"/>
        <v>365</v>
      </c>
      <c r="I68" t="s">
        <v>102</v>
      </c>
      <c r="J68" s="7">
        <f t="shared" si="18"/>
        <v>5860.2739726027394</v>
      </c>
    </row>
    <row r="69" spans="1:10" x14ac:dyDescent="0.35">
      <c r="C69" s="2">
        <f t="shared" si="14"/>
        <v>45879</v>
      </c>
      <c r="D69" s="2">
        <f t="shared" si="13"/>
        <v>45971</v>
      </c>
      <c r="E69" s="1">
        <f t="shared" si="15"/>
        <v>46244</v>
      </c>
      <c r="F69">
        <f t="shared" si="16"/>
        <v>92</v>
      </c>
      <c r="G69">
        <f t="shared" si="17"/>
        <v>365</v>
      </c>
      <c r="I69" t="s">
        <v>103</v>
      </c>
      <c r="J69" s="7">
        <f t="shared" si="18"/>
        <v>5860.2739726027394</v>
      </c>
    </row>
    <row r="70" spans="1:10" x14ac:dyDescent="0.35">
      <c r="C70" s="2">
        <f t="shared" si="14"/>
        <v>45971</v>
      </c>
      <c r="D70" s="2">
        <f t="shared" si="13"/>
        <v>46063</v>
      </c>
      <c r="E70" s="1">
        <f t="shared" si="15"/>
        <v>46336</v>
      </c>
      <c r="F70">
        <f t="shared" si="16"/>
        <v>92</v>
      </c>
      <c r="G70">
        <f t="shared" si="17"/>
        <v>365</v>
      </c>
      <c r="I70" t="s">
        <v>104</v>
      </c>
      <c r="J70" s="7">
        <f t="shared" si="18"/>
        <v>5860.2739726027394</v>
      </c>
    </row>
    <row r="71" spans="1:10" x14ac:dyDescent="0.35">
      <c r="C71" s="2">
        <f t="shared" si="14"/>
        <v>46063</v>
      </c>
      <c r="D71" s="2">
        <f t="shared" si="13"/>
        <v>46152</v>
      </c>
      <c r="E71" s="1">
        <f t="shared" si="15"/>
        <v>46428</v>
      </c>
      <c r="F71">
        <f t="shared" si="16"/>
        <v>89</v>
      </c>
      <c r="G71">
        <f t="shared" si="17"/>
        <v>365</v>
      </c>
      <c r="I71" t="s">
        <v>105</v>
      </c>
      <c r="J71" s="7">
        <f t="shared" si="18"/>
        <v>5669.178082191781</v>
      </c>
    </row>
    <row r="72" spans="1:10" x14ac:dyDescent="0.35">
      <c r="C72" s="2">
        <f t="shared" si="14"/>
        <v>46152</v>
      </c>
      <c r="D72" s="2">
        <f t="shared" si="13"/>
        <v>46244</v>
      </c>
      <c r="E72" s="1">
        <f t="shared" si="15"/>
        <v>46517</v>
      </c>
      <c r="F72">
        <f t="shared" si="16"/>
        <v>92</v>
      </c>
      <c r="G72">
        <f t="shared" si="17"/>
        <v>365</v>
      </c>
      <c r="I72" t="s">
        <v>106</v>
      </c>
      <c r="J72" s="7">
        <f t="shared" si="18"/>
        <v>5860.2739726027394</v>
      </c>
    </row>
    <row r="73" spans="1:10" x14ac:dyDescent="0.35">
      <c r="C73" s="2">
        <f>D72</f>
        <v>46244</v>
      </c>
      <c r="D73" s="2">
        <f t="shared" si="13"/>
        <v>46336</v>
      </c>
      <c r="E73" s="1">
        <f t="shared" si="15"/>
        <v>46609</v>
      </c>
      <c r="F73">
        <f t="shared" si="16"/>
        <v>92</v>
      </c>
      <c r="G73">
        <f t="shared" si="17"/>
        <v>365</v>
      </c>
      <c r="I73" t="s">
        <v>107</v>
      </c>
      <c r="J73" s="7">
        <f t="shared" si="18"/>
        <v>5860.2739726027394</v>
      </c>
    </row>
    <row r="75" spans="1:10" x14ac:dyDescent="0.35">
      <c r="C75" s="8" t="s">
        <v>109</v>
      </c>
      <c r="D75" s="9">
        <f>J73</f>
        <v>5860.2739726027394</v>
      </c>
      <c r="E75" s="15"/>
    </row>
    <row r="77" spans="1:10" x14ac:dyDescent="0.35">
      <c r="A77">
        <v>26</v>
      </c>
      <c r="B77" t="s">
        <v>6</v>
      </c>
      <c r="C77" t="s">
        <v>82</v>
      </c>
      <c r="D77" s="1">
        <v>45261</v>
      </c>
    </row>
    <row r="78" spans="1:10" x14ac:dyDescent="0.35">
      <c r="C78" t="s">
        <v>83</v>
      </c>
      <c r="D78" s="2">
        <f>EDATE(D77,36)</f>
        <v>46357</v>
      </c>
    </row>
    <row r="79" spans="1:10" x14ac:dyDescent="0.35">
      <c r="C79" t="s">
        <v>89</v>
      </c>
      <c r="D79" t="s">
        <v>85</v>
      </c>
    </row>
    <row r="80" spans="1:10" x14ac:dyDescent="0.35">
      <c r="C80" t="s">
        <v>90</v>
      </c>
      <c r="D80" t="s">
        <v>84</v>
      </c>
    </row>
    <row r="81" spans="1:10" x14ac:dyDescent="0.35">
      <c r="C81" t="s">
        <v>91</v>
      </c>
      <c r="D81" s="7">
        <v>150000</v>
      </c>
    </row>
    <row r="82" spans="1:10" x14ac:dyDescent="0.35">
      <c r="C82" t="s">
        <v>92</v>
      </c>
      <c r="D82" s="3">
        <v>7.6999999999999999E-2</v>
      </c>
    </row>
    <row r="83" spans="1:10" x14ac:dyDescent="0.35">
      <c r="C83" t="s">
        <v>93</v>
      </c>
      <c r="D83">
        <f>D78-D77</f>
        <v>1096</v>
      </c>
    </row>
    <row r="84" spans="1:10" x14ac:dyDescent="0.35">
      <c r="C84" t="s">
        <v>94</v>
      </c>
      <c r="D84">
        <v>3</v>
      </c>
    </row>
    <row r="86" spans="1:10" x14ac:dyDescent="0.35">
      <c r="C86" t="s">
        <v>95</v>
      </c>
      <c r="D86" t="s">
        <v>96</v>
      </c>
      <c r="E86" t="s">
        <v>97</v>
      </c>
      <c r="F86" t="s">
        <v>98</v>
      </c>
      <c r="G86" t="s">
        <v>99</v>
      </c>
    </row>
    <row r="87" spans="1:10" x14ac:dyDescent="0.35">
      <c r="C87" s="1">
        <v>45261</v>
      </c>
      <c r="D87" s="2">
        <f t="shared" ref="D87:D89" si="19">EDATE(C87,3)</f>
        <v>45352</v>
      </c>
      <c r="E87" s="1">
        <f>EDATE(C87,12)</f>
        <v>45627</v>
      </c>
      <c r="F87">
        <f>D87-C87</f>
        <v>91</v>
      </c>
      <c r="G87">
        <f>E87-C87</f>
        <v>366</v>
      </c>
      <c r="I87" t="s">
        <v>100</v>
      </c>
      <c r="J87" s="7">
        <f>$D$81*$D$82*F87/G87</f>
        <v>2871.7213114754099</v>
      </c>
    </row>
    <row r="88" spans="1:10" x14ac:dyDescent="0.35">
      <c r="C88" s="2">
        <f t="shared" ref="C88:C89" si="20">D87</f>
        <v>45352</v>
      </c>
      <c r="D88" s="2">
        <f t="shared" si="19"/>
        <v>45444</v>
      </c>
      <c r="E88" s="1">
        <f t="shared" ref="E88:E89" si="21">EDATE(C88,12)</f>
        <v>45717</v>
      </c>
      <c r="F88">
        <f t="shared" ref="F88:F89" si="22">D88-C88</f>
        <v>92</v>
      </c>
      <c r="G88">
        <f t="shared" ref="G88:G89" si="23">E88-C88</f>
        <v>365</v>
      </c>
      <c r="I88" t="s">
        <v>101</v>
      </c>
      <c r="J88" s="7">
        <f t="shared" ref="J88:J89" si="24">$D$81*$D$82*F88/G88</f>
        <v>2911.2328767123286</v>
      </c>
    </row>
    <row r="89" spans="1:10" x14ac:dyDescent="0.35">
      <c r="C89" s="2">
        <f t="shared" si="20"/>
        <v>45444</v>
      </c>
      <c r="D89" s="2">
        <f t="shared" si="19"/>
        <v>45536</v>
      </c>
      <c r="E89" s="1">
        <f t="shared" si="21"/>
        <v>45809</v>
      </c>
      <c r="F89">
        <f t="shared" si="22"/>
        <v>92</v>
      </c>
      <c r="G89">
        <f t="shared" si="23"/>
        <v>365</v>
      </c>
      <c r="I89" t="s">
        <v>102</v>
      </c>
      <c r="J89" s="7">
        <f t="shared" si="24"/>
        <v>2911.2328767123286</v>
      </c>
    </row>
    <row r="91" spans="1:10" x14ac:dyDescent="0.35">
      <c r="C91" s="8" t="s">
        <v>110</v>
      </c>
      <c r="D91" s="9">
        <f>J89</f>
        <v>2911.2328767123286</v>
      </c>
    </row>
    <row r="92" spans="1:10" x14ac:dyDescent="0.35">
      <c r="D92" s="7"/>
    </row>
    <row r="93" spans="1:10" x14ac:dyDescent="0.35">
      <c r="A93">
        <v>27</v>
      </c>
      <c r="B93" t="s">
        <v>7</v>
      </c>
      <c r="C93" t="s">
        <v>82</v>
      </c>
      <c r="D93" s="1">
        <v>45839</v>
      </c>
    </row>
    <row r="94" spans="1:10" x14ac:dyDescent="0.35">
      <c r="C94" t="s">
        <v>83</v>
      </c>
      <c r="D94" s="2">
        <f>D93+400</f>
        <v>46239</v>
      </c>
    </row>
    <row r="95" spans="1:10" x14ac:dyDescent="0.35">
      <c r="C95" t="s">
        <v>89</v>
      </c>
      <c r="D95" t="s">
        <v>85</v>
      </c>
    </row>
    <row r="96" spans="1:10" x14ac:dyDescent="0.35">
      <c r="C96" t="s">
        <v>90</v>
      </c>
      <c r="D96" t="s">
        <v>86</v>
      </c>
    </row>
    <row r="97" spans="3:12" x14ac:dyDescent="0.35">
      <c r="C97" t="s">
        <v>133</v>
      </c>
      <c r="D97" t="s">
        <v>125</v>
      </c>
    </row>
    <row r="98" spans="3:12" x14ac:dyDescent="0.35">
      <c r="C98" t="s">
        <v>91</v>
      </c>
      <c r="D98" s="7">
        <v>80000</v>
      </c>
    </row>
    <row r="99" spans="3:12" x14ac:dyDescent="0.35">
      <c r="C99" t="s">
        <v>92</v>
      </c>
      <c r="D99" s="3">
        <v>6.7500000000000004E-2</v>
      </c>
    </row>
    <row r="100" spans="3:12" x14ac:dyDescent="0.35">
      <c r="C100" t="s">
        <v>93</v>
      </c>
      <c r="D100">
        <v>400</v>
      </c>
      <c r="L100" s="2"/>
    </row>
    <row r="101" spans="3:12" x14ac:dyDescent="0.35">
      <c r="C101" t="s">
        <v>94</v>
      </c>
      <c r="D101" t="s">
        <v>140</v>
      </c>
      <c r="L101" s="2"/>
    </row>
    <row r="102" spans="3:12" x14ac:dyDescent="0.35">
      <c r="L102" s="2"/>
    </row>
    <row r="103" spans="3:12" x14ac:dyDescent="0.35">
      <c r="C103" t="s">
        <v>95</v>
      </c>
      <c r="D103" t="s">
        <v>96</v>
      </c>
      <c r="E103" t="s">
        <v>97</v>
      </c>
      <c r="F103" t="s">
        <v>98</v>
      </c>
      <c r="G103" t="s">
        <v>99</v>
      </c>
      <c r="L103" s="2"/>
    </row>
    <row r="104" spans="3:12" x14ac:dyDescent="0.35">
      <c r="C104" s="1">
        <v>45839</v>
      </c>
      <c r="D104" s="2">
        <f t="shared" ref="D104:D107" si="25">EDATE(C104,3)</f>
        <v>45931</v>
      </c>
      <c r="E104" s="1">
        <f>EDATE(C104,12)</f>
        <v>46204</v>
      </c>
      <c r="F104">
        <f>D104-C104</f>
        <v>92</v>
      </c>
      <c r="G104">
        <f>E104-C104</f>
        <v>365</v>
      </c>
      <c r="I104" t="s">
        <v>100</v>
      </c>
      <c r="J104" s="7">
        <f>$D$98*$D$99*F104/G104</f>
        <v>1361.0958904109589</v>
      </c>
      <c r="L104" s="2"/>
    </row>
    <row r="105" spans="3:12" x14ac:dyDescent="0.35">
      <c r="C105" s="2">
        <f t="shared" ref="C105:C108" si="26">D104</f>
        <v>45931</v>
      </c>
      <c r="D105" s="2">
        <f t="shared" si="25"/>
        <v>46023</v>
      </c>
      <c r="E105" s="1">
        <f t="shared" ref="E105:E108" si="27">EDATE(C105,12)</f>
        <v>46296</v>
      </c>
      <c r="F105">
        <f t="shared" ref="F105:F108" si="28">D105-C105</f>
        <v>92</v>
      </c>
      <c r="G105">
        <f t="shared" ref="G105:G108" si="29">E105-C105</f>
        <v>365</v>
      </c>
      <c r="I105" t="s">
        <v>101</v>
      </c>
      <c r="J105" s="7">
        <f t="shared" ref="J105:J108" si="30">$D$98*$D$99*F105/G105</f>
        <v>1361.0958904109589</v>
      </c>
      <c r="L105" s="2"/>
    </row>
    <row r="106" spans="3:12" x14ac:dyDescent="0.35">
      <c r="C106" s="2">
        <f t="shared" si="26"/>
        <v>46023</v>
      </c>
      <c r="D106" s="2">
        <f t="shared" si="25"/>
        <v>46113</v>
      </c>
      <c r="E106" s="1">
        <f t="shared" si="27"/>
        <v>46388</v>
      </c>
      <c r="F106">
        <f t="shared" si="28"/>
        <v>90</v>
      </c>
      <c r="G106">
        <f t="shared" si="29"/>
        <v>365</v>
      </c>
      <c r="I106" t="s">
        <v>102</v>
      </c>
      <c r="J106" s="7">
        <f t="shared" si="30"/>
        <v>1331.5068493150684</v>
      </c>
    </row>
    <row r="107" spans="3:12" x14ac:dyDescent="0.35">
      <c r="C107" s="2">
        <f t="shared" si="26"/>
        <v>46113</v>
      </c>
      <c r="D107" s="2">
        <f t="shared" si="25"/>
        <v>46204</v>
      </c>
      <c r="E107" s="1">
        <f t="shared" si="27"/>
        <v>46478</v>
      </c>
      <c r="F107">
        <f t="shared" si="28"/>
        <v>91</v>
      </c>
      <c r="G107">
        <f t="shared" si="29"/>
        <v>365</v>
      </c>
      <c r="I107" t="s">
        <v>103</v>
      </c>
      <c r="J107" s="7">
        <f t="shared" si="30"/>
        <v>1346.3013698630136</v>
      </c>
    </row>
    <row r="108" spans="3:12" x14ac:dyDescent="0.35">
      <c r="C108" s="2">
        <f t="shared" si="26"/>
        <v>46204</v>
      </c>
      <c r="D108" s="2">
        <f>D94</f>
        <v>46239</v>
      </c>
      <c r="E108" s="1">
        <f t="shared" si="27"/>
        <v>46569</v>
      </c>
      <c r="F108">
        <f t="shared" si="28"/>
        <v>35</v>
      </c>
      <c r="G108">
        <f t="shared" si="29"/>
        <v>365</v>
      </c>
      <c r="I108" t="s">
        <v>104</v>
      </c>
      <c r="J108" s="7">
        <f t="shared" si="30"/>
        <v>517.80821917808214</v>
      </c>
    </row>
    <row r="109" spans="3:12" x14ac:dyDescent="0.35">
      <c r="C109" s="2"/>
      <c r="D109" s="2"/>
      <c r="E109" s="1"/>
      <c r="J109" s="7"/>
    </row>
    <row r="110" spans="3:12" x14ac:dyDescent="0.35">
      <c r="C110" s="13" t="s">
        <v>250</v>
      </c>
      <c r="D110" s="21" t="s">
        <v>100</v>
      </c>
      <c r="E110" s="19">
        <v>1361.0958904109589</v>
      </c>
      <c r="J110" s="7"/>
    </row>
    <row r="111" spans="3:12" x14ac:dyDescent="0.35">
      <c r="C111" s="2"/>
      <c r="D111" s="21" t="s">
        <v>101</v>
      </c>
      <c r="E111" s="19">
        <v>1361.0958904109589</v>
      </c>
      <c r="J111" s="7"/>
    </row>
    <row r="112" spans="3:12" x14ac:dyDescent="0.35">
      <c r="C112" s="2"/>
      <c r="D112" s="21" t="s">
        <v>102</v>
      </c>
      <c r="E112" s="19">
        <v>1331.5068493150684</v>
      </c>
      <c r="J112" s="7"/>
    </row>
    <row r="113" spans="1:10" x14ac:dyDescent="0.35">
      <c r="C113" s="2"/>
      <c r="D113" s="21" t="s">
        <v>103</v>
      </c>
      <c r="E113" s="19">
        <v>1346.3013698630136</v>
      </c>
      <c r="J113" s="7"/>
    </row>
    <row r="114" spans="1:10" x14ac:dyDescent="0.35">
      <c r="C114" s="2"/>
      <c r="D114" s="21" t="s">
        <v>104</v>
      </c>
      <c r="E114" s="19">
        <v>517.80821917808214</v>
      </c>
      <c r="J114" s="7"/>
    </row>
    <row r="115" spans="1:10" x14ac:dyDescent="0.35">
      <c r="C115" s="2"/>
      <c r="D115" s="2"/>
      <c r="E115" s="1"/>
      <c r="J115" s="7"/>
    </row>
    <row r="116" spans="1:10" x14ac:dyDescent="0.35">
      <c r="A116">
        <v>28</v>
      </c>
      <c r="B116" t="s">
        <v>8</v>
      </c>
      <c r="C116" t="s">
        <v>82</v>
      </c>
      <c r="D116" s="1">
        <v>45689</v>
      </c>
      <c r="J116" s="7"/>
    </row>
    <row r="117" spans="1:10" x14ac:dyDescent="0.35">
      <c r="C117" t="s">
        <v>83</v>
      </c>
      <c r="D117" s="2">
        <f>EDATE(D116,36)</f>
        <v>46784</v>
      </c>
      <c r="J117" s="7"/>
    </row>
    <row r="118" spans="1:10" x14ac:dyDescent="0.35">
      <c r="C118" t="s">
        <v>89</v>
      </c>
      <c r="D118" t="s">
        <v>87</v>
      </c>
    </row>
    <row r="119" spans="1:10" x14ac:dyDescent="0.35">
      <c r="C119" t="s">
        <v>90</v>
      </c>
      <c r="D119" t="s">
        <v>86</v>
      </c>
    </row>
    <row r="120" spans="1:10" x14ac:dyDescent="0.35">
      <c r="C120" t="s">
        <v>133</v>
      </c>
      <c r="D120" t="s">
        <v>125</v>
      </c>
    </row>
    <row r="121" spans="1:10" x14ac:dyDescent="0.35">
      <c r="C121" t="s">
        <v>91</v>
      </c>
      <c r="D121" s="7">
        <v>55000000</v>
      </c>
    </row>
    <row r="122" spans="1:10" x14ac:dyDescent="0.35">
      <c r="C122" t="s">
        <v>92</v>
      </c>
      <c r="D122" s="3">
        <v>7.3499999999999996E-2</v>
      </c>
    </row>
    <row r="123" spans="1:10" x14ac:dyDescent="0.35">
      <c r="C123" t="s">
        <v>93</v>
      </c>
      <c r="D123">
        <f>D117-D116</f>
        <v>1095</v>
      </c>
    </row>
    <row r="124" spans="1:10" x14ac:dyDescent="0.35">
      <c r="C124" t="s">
        <v>94</v>
      </c>
      <c r="D124">
        <v>3</v>
      </c>
    </row>
    <row r="126" spans="1:10" x14ac:dyDescent="0.35">
      <c r="C126" t="s">
        <v>95</v>
      </c>
      <c r="D126" t="s">
        <v>96</v>
      </c>
      <c r="E126" t="s">
        <v>97</v>
      </c>
      <c r="F126" t="s">
        <v>98</v>
      </c>
      <c r="G126" t="s">
        <v>99</v>
      </c>
    </row>
    <row r="127" spans="1:10" x14ac:dyDescent="0.35">
      <c r="C127" s="1">
        <v>45689</v>
      </c>
      <c r="D127" s="2">
        <f t="shared" ref="D127:D130" si="31">EDATE(C127,3)</f>
        <v>45778</v>
      </c>
      <c r="E127" s="1">
        <f>EDATE(C127,12)</f>
        <v>46054</v>
      </c>
      <c r="F127">
        <f>D127-C127</f>
        <v>89</v>
      </c>
      <c r="G127">
        <f>E127-C127</f>
        <v>365</v>
      </c>
      <c r="I127" s="8" t="s">
        <v>100</v>
      </c>
      <c r="J127" s="4">
        <f>$D$121*$D$122*F127/G127</f>
        <v>985705.47945205483</v>
      </c>
    </row>
    <row r="128" spans="1:10" x14ac:dyDescent="0.35">
      <c r="C128" s="2">
        <f t="shared" ref="C128:C131" si="32">D127</f>
        <v>45778</v>
      </c>
      <c r="D128" s="2">
        <f t="shared" si="31"/>
        <v>45870</v>
      </c>
      <c r="E128" s="1">
        <f t="shared" ref="E128:E138" si="33">EDATE(C128,12)</f>
        <v>46143</v>
      </c>
      <c r="F128">
        <f t="shared" ref="F128:F138" si="34">D128-C128</f>
        <v>92</v>
      </c>
      <c r="G128">
        <f t="shared" ref="G128:G138" si="35">E128-C128</f>
        <v>365</v>
      </c>
      <c r="I128" s="8" t="s">
        <v>101</v>
      </c>
      <c r="J128" s="4">
        <f t="shared" ref="J128:J138" si="36">$D$121*$D$122*F128/G128</f>
        <v>1018931.506849315</v>
      </c>
    </row>
    <row r="129" spans="3:10" x14ac:dyDescent="0.35">
      <c r="C129" s="2">
        <f t="shared" si="32"/>
        <v>45870</v>
      </c>
      <c r="D129" s="2">
        <f t="shared" si="31"/>
        <v>45962</v>
      </c>
      <c r="E129" s="1">
        <f t="shared" si="33"/>
        <v>46235</v>
      </c>
      <c r="F129">
        <f t="shared" si="34"/>
        <v>92</v>
      </c>
      <c r="G129">
        <f t="shared" si="35"/>
        <v>365</v>
      </c>
      <c r="I129" s="8" t="s">
        <v>102</v>
      </c>
      <c r="J129" s="4">
        <f t="shared" si="36"/>
        <v>1018931.506849315</v>
      </c>
    </row>
    <row r="130" spans="3:10" x14ac:dyDescent="0.35">
      <c r="C130" s="2">
        <f t="shared" si="32"/>
        <v>45962</v>
      </c>
      <c r="D130" s="2">
        <f t="shared" si="31"/>
        <v>46054</v>
      </c>
      <c r="E130" s="1">
        <f t="shared" si="33"/>
        <v>46327</v>
      </c>
      <c r="F130">
        <f t="shared" si="34"/>
        <v>92</v>
      </c>
      <c r="G130">
        <f t="shared" si="35"/>
        <v>365</v>
      </c>
      <c r="I130" s="8" t="s">
        <v>103</v>
      </c>
      <c r="J130" s="4">
        <f t="shared" si="36"/>
        <v>1018931.506849315</v>
      </c>
    </row>
    <row r="131" spans="3:10" x14ac:dyDescent="0.35">
      <c r="C131" s="2">
        <f t="shared" si="32"/>
        <v>46054</v>
      </c>
      <c r="D131" s="2">
        <f>EDATE(C131,3)</f>
        <v>46143</v>
      </c>
      <c r="E131" s="1">
        <f t="shared" si="33"/>
        <v>46419</v>
      </c>
      <c r="F131">
        <f t="shared" si="34"/>
        <v>89</v>
      </c>
      <c r="G131">
        <f t="shared" si="35"/>
        <v>365</v>
      </c>
      <c r="I131" s="8" t="s">
        <v>104</v>
      </c>
      <c r="J131" s="4">
        <f t="shared" si="36"/>
        <v>985705.47945205483</v>
      </c>
    </row>
    <row r="132" spans="3:10" x14ac:dyDescent="0.35">
      <c r="C132" s="2">
        <f>D131</f>
        <v>46143</v>
      </c>
      <c r="D132" s="2">
        <f>EDATE(C132,3)</f>
        <v>46235</v>
      </c>
      <c r="E132" s="1">
        <f t="shared" si="33"/>
        <v>46508</v>
      </c>
      <c r="F132">
        <f t="shared" si="34"/>
        <v>92</v>
      </c>
      <c r="G132">
        <f t="shared" si="35"/>
        <v>365</v>
      </c>
      <c r="I132" s="8" t="s">
        <v>105</v>
      </c>
      <c r="J132" s="4">
        <f t="shared" si="36"/>
        <v>1018931.506849315</v>
      </c>
    </row>
    <row r="133" spans="3:10" x14ac:dyDescent="0.35">
      <c r="C133" s="2">
        <f t="shared" ref="C133:C138" si="37">D132</f>
        <v>46235</v>
      </c>
      <c r="D133" s="2">
        <f t="shared" ref="D133:D138" si="38">EDATE(C133,3)</f>
        <v>46327</v>
      </c>
      <c r="E133" s="1">
        <f t="shared" si="33"/>
        <v>46600</v>
      </c>
      <c r="F133">
        <f t="shared" si="34"/>
        <v>92</v>
      </c>
      <c r="G133">
        <f t="shared" si="35"/>
        <v>365</v>
      </c>
      <c r="I133" s="8" t="s">
        <v>106</v>
      </c>
      <c r="J133" s="4">
        <f t="shared" si="36"/>
        <v>1018931.506849315</v>
      </c>
    </row>
    <row r="134" spans="3:10" x14ac:dyDescent="0.35">
      <c r="C134" s="2">
        <f t="shared" si="37"/>
        <v>46327</v>
      </c>
      <c r="D134" s="2">
        <f t="shared" si="38"/>
        <v>46419</v>
      </c>
      <c r="E134" s="1">
        <f t="shared" si="33"/>
        <v>46692</v>
      </c>
      <c r="F134">
        <f t="shared" si="34"/>
        <v>92</v>
      </c>
      <c r="G134">
        <f t="shared" si="35"/>
        <v>365</v>
      </c>
      <c r="I134" s="8" t="s">
        <v>107</v>
      </c>
      <c r="J134" s="4">
        <f t="shared" si="36"/>
        <v>1018931.506849315</v>
      </c>
    </row>
    <row r="135" spans="3:10" x14ac:dyDescent="0.35">
      <c r="C135" s="2">
        <f t="shared" si="37"/>
        <v>46419</v>
      </c>
      <c r="D135" s="2">
        <f t="shared" si="38"/>
        <v>46508</v>
      </c>
      <c r="E135" s="1">
        <f t="shared" si="33"/>
        <v>46784</v>
      </c>
      <c r="F135">
        <f t="shared" si="34"/>
        <v>89</v>
      </c>
      <c r="G135">
        <f t="shared" si="35"/>
        <v>365</v>
      </c>
      <c r="I135" s="8" t="s">
        <v>134</v>
      </c>
      <c r="J135" s="4">
        <f t="shared" si="36"/>
        <v>985705.47945205483</v>
      </c>
    </row>
    <row r="136" spans="3:10" x14ac:dyDescent="0.35">
      <c r="C136" s="2">
        <f t="shared" si="37"/>
        <v>46508</v>
      </c>
      <c r="D136" s="2">
        <f t="shared" si="38"/>
        <v>46600</v>
      </c>
      <c r="E136" s="1">
        <f t="shared" si="33"/>
        <v>46874</v>
      </c>
      <c r="F136">
        <f t="shared" si="34"/>
        <v>92</v>
      </c>
      <c r="G136">
        <f t="shared" si="35"/>
        <v>366</v>
      </c>
      <c r="I136" s="8" t="s">
        <v>135</v>
      </c>
      <c r="J136" s="4">
        <f t="shared" si="36"/>
        <v>1016147.5409836066</v>
      </c>
    </row>
    <row r="137" spans="3:10" x14ac:dyDescent="0.35">
      <c r="C137" s="2">
        <f t="shared" si="37"/>
        <v>46600</v>
      </c>
      <c r="D137" s="2">
        <f t="shared" si="38"/>
        <v>46692</v>
      </c>
      <c r="E137" s="1">
        <f t="shared" si="33"/>
        <v>46966</v>
      </c>
      <c r="F137">
        <f t="shared" si="34"/>
        <v>92</v>
      </c>
      <c r="G137">
        <f t="shared" si="35"/>
        <v>366</v>
      </c>
      <c r="I137" s="8" t="s">
        <v>136</v>
      </c>
      <c r="J137" s="4">
        <f t="shared" si="36"/>
        <v>1016147.5409836066</v>
      </c>
    </row>
    <row r="138" spans="3:10" x14ac:dyDescent="0.35">
      <c r="C138" s="2">
        <f t="shared" si="37"/>
        <v>46692</v>
      </c>
      <c r="D138" s="2">
        <f t="shared" si="38"/>
        <v>46784</v>
      </c>
      <c r="E138" s="1">
        <f t="shared" si="33"/>
        <v>47058</v>
      </c>
      <c r="F138">
        <f t="shared" si="34"/>
        <v>92</v>
      </c>
      <c r="G138">
        <f t="shared" si="35"/>
        <v>366</v>
      </c>
      <c r="I138" s="8" t="s">
        <v>137</v>
      </c>
      <c r="J138" s="4">
        <f t="shared" si="36"/>
        <v>1016147.5409836066</v>
      </c>
    </row>
    <row r="139" spans="3:10" x14ac:dyDescent="0.35">
      <c r="C139" s="2"/>
      <c r="D139" s="2"/>
      <c r="E139" s="1"/>
      <c r="J139" s="5">
        <f>SUM(J127:J138)</f>
        <v>12119148.102402873</v>
      </c>
    </row>
    <row r="140" spans="3:10" x14ac:dyDescent="0.35">
      <c r="C140" s="8" t="s">
        <v>141</v>
      </c>
      <c r="D140" s="19" t="s">
        <v>100</v>
      </c>
      <c r="E140" s="22">
        <v>985705.47945205483</v>
      </c>
    </row>
    <row r="141" spans="3:10" x14ac:dyDescent="0.35">
      <c r="D141" s="19" t="s">
        <v>101</v>
      </c>
      <c r="E141" s="22">
        <v>1018931.506849315</v>
      </c>
    </row>
    <row r="142" spans="3:10" x14ac:dyDescent="0.35">
      <c r="D142" s="19" t="s">
        <v>102</v>
      </c>
      <c r="E142" s="22">
        <v>1018931.506849315</v>
      </c>
    </row>
    <row r="143" spans="3:10" x14ac:dyDescent="0.35">
      <c r="D143" s="19" t="s">
        <v>103</v>
      </c>
      <c r="E143" s="22">
        <v>1018931.506849315</v>
      </c>
    </row>
    <row r="144" spans="3:10" x14ac:dyDescent="0.35">
      <c r="D144" s="19" t="s">
        <v>104</v>
      </c>
      <c r="E144" s="22">
        <v>985705.47945205483</v>
      </c>
    </row>
    <row r="145" spans="1:10" x14ac:dyDescent="0.35">
      <c r="D145" s="19" t="s">
        <v>105</v>
      </c>
      <c r="E145" s="22">
        <v>1018931.506849315</v>
      </c>
    </row>
    <row r="146" spans="1:10" x14ac:dyDescent="0.35">
      <c r="D146" s="19" t="s">
        <v>106</v>
      </c>
      <c r="E146" s="22">
        <v>1018931.506849315</v>
      </c>
    </row>
    <row r="147" spans="1:10" x14ac:dyDescent="0.35">
      <c r="D147" s="19" t="s">
        <v>107</v>
      </c>
      <c r="E147" s="22">
        <v>1018931.506849315</v>
      </c>
    </row>
    <row r="148" spans="1:10" x14ac:dyDescent="0.35">
      <c r="D148" s="19" t="s">
        <v>134</v>
      </c>
      <c r="E148" s="22">
        <v>985705.47945205483</v>
      </c>
    </row>
    <row r="149" spans="1:10" x14ac:dyDescent="0.35">
      <c r="D149" s="19" t="s">
        <v>135</v>
      </c>
      <c r="E149" s="22">
        <v>1016147.5409836066</v>
      </c>
    </row>
    <row r="150" spans="1:10" x14ac:dyDescent="0.35">
      <c r="D150" s="19" t="s">
        <v>136</v>
      </c>
      <c r="E150" s="22">
        <v>1016147.5409836066</v>
      </c>
    </row>
    <row r="151" spans="1:10" x14ac:dyDescent="0.35">
      <c r="D151" s="19" t="s">
        <v>137</v>
      </c>
      <c r="E151" s="22">
        <v>1016147.5409836066</v>
      </c>
    </row>
    <row r="152" spans="1:10" x14ac:dyDescent="0.35">
      <c r="C152" s="2"/>
      <c r="D152" s="2"/>
      <c r="E152" s="1"/>
      <c r="J152" s="7"/>
    </row>
    <row r="153" spans="1:10" x14ac:dyDescent="0.35">
      <c r="A153">
        <v>29</v>
      </c>
      <c r="B153" t="s">
        <v>9</v>
      </c>
      <c r="C153" t="s">
        <v>82</v>
      </c>
      <c r="D153" s="1">
        <v>45558</v>
      </c>
    </row>
    <row r="154" spans="1:10" x14ac:dyDescent="0.35">
      <c r="C154" t="s">
        <v>83</v>
      </c>
      <c r="D154" s="2">
        <f>EDATE(D153,24)</f>
        <v>46288</v>
      </c>
    </row>
    <row r="155" spans="1:10" x14ac:dyDescent="0.35">
      <c r="C155" t="s">
        <v>89</v>
      </c>
      <c r="D155" t="s">
        <v>85</v>
      </c>
    </row>
    <row r="156" spans="1:10" x14ac:dyDescent="0.35">
      <c r="C156" t="s">
        <v>90</v>
      </c>
      <c r="D156" t="s">
        <v>86</v>
      </c>
    </row>
    <row r="157" spans="1:10" x14ac:dyDescent="0.35">
      <c r="C157" t="s">
        <v>133</v>
      </c>
      <c r="D157" t="s">
        <v>125</v>
      </c>
    </row>
    <row r="158" spans="1:10" x14ac:dyDescent="0.35">
      <c r="C158" t="s">
        <v>91</v>
      </c>
      <c r="D158" s="7">
        <v>50000</v>
      </c>
    </row>
    <row r="159" spans="1:10" x14ac:dyDescent="0.35">
      <c r="C159" t="s">
        <v>92</v>
      </c>
      <c r="D159" s="3">
        <v>7.7499999999999999E-2</v>
      </c>
    </row>
    <row r="160" spans="1:10" x14ac:dyDescent="0.35">
      <c r="C160" t="s">
        <v>93</v>
      </c>
      <c r="D160">
        <f>D154-D153</f>
        <v>730</v>
      </c>
    </row>
    <row r="161" spans="1:10" x14ac:dyDescent="0.35">
      <c r="C161" t="s">
        <v>94</v>
      </c>
      <c r="D161">
        <v>2</v>
      </c>
    </row>
    <row r="163" spans="1:10" x14ac:dyDescent="0.35">
      <c r="C163" t="s">
        <v>95</v>
      </c>
      <c r="D163" t="s">
        <v>96</v>
      </c>
      <c r="E163" t="s">
        <v>97</v>
      </c>
      <c r="F163" t="s">
        <v>98</v>
      </c>
      <c r="G163" t="s">
        <v>99</v>
      </c>
    </row>
    <row r="164" spans="1:10" x14ac:dyDescent="0.35">
      <c r="C164" s="1">
        <v>45558</v>
      </c>
      <c r="D164" s="2">
        <f t="shared" ref="D164" si="39">EDATE(C164,3)</f>
        <v>45649</v>
      </c>
      <c r="E164" s="1">
        <f>EDATE(C164,12)</f>
        <v>45923</v>
      </c>
      <c r="F164">
        <f>D164-C164</f>
        <v>91</v>
      </c>
      <c r="G164">
        <f>E164-C164</f>
        <v>365</v>
      </c>
      <c r="I164" s="8" t="s">
        <v>100</v>
      </c>
      <c r="J164" s="9">
        <f>$D$158*$D$159*F164/G164</f>
        <v>966.09589041095887</v>
      </c>
    </row>
    <row r="165" spans="1:10" x14ac:dyDescent="0.35">
      <c r="C165" s="2"/>
      <c r="D165" s="2"/>
      <c r="E165" s="1"/>
      <c r="J165" s="7"/>
    </row>
    <row r="166" spans="1:10" x14ac:dyDescent="0.35">
      <c r="C166" s="13" t="s">
        <v>142</v>
      </c>
      <c r="D166" s="19">
        <f>J164</f>
        <v>966.09589041095887</v>
      </c>
      <c r="E166" s="1"/>
      <c r="J166" s="7"/>
    </row>
    <row r="167" spans="1:10" x14ac:dyDescent="0.35">
      <c r="C167" s="2"/>
      <c r="E167" s="1"/>
      <c r="J167" s="7"/>
    </row>
    <row r="168" spans="1:10" x14ac:dyDescent="0.35">
      <c r="A168">
        <v>30</v>
      </c>
      <c r="B168" t="s">
        <v>10</v>
      </c>
      <c r="C168" t="s">
        <v>82</v>
      </c>
      <c r="D168" s="1">
        <v>45688</v>
      </c>
    </row>
    <row r="169" spans="1:10" x14ac:dyDescent="0.35">
      <c r="C169" t="s">
        <v>83</v>
      </c>
      <c r="D169" s="2">
        <f>EDATE(D168,12)</f>
        <v>46053</v>
      </c>
    </row>
    <row r="170" spans="1:10" x14ac:dyDescent="0.35">
      <c r="C170" t="s">
        <v>89</v>
      </c>
      <c r="D170" t="s">
        <v>85</v>
      </c>
    </row>
    <row r="171" spans="1:10" x14ac:dyDescent="0.35">
      <c r="C171" t="s">
        <v>90</v>
      </c>
      <c r="D171" t="s">
        <v>84</v>
      </c>
    </row>
    <row r="172" spans="1:10" x14ac:dyDescent="0.35">
      <c r="C172" t="s">
        <v>133</v>
      </c>
      <c r="D172" t="s">
        <v>125</v>
      </c>
    </row>
    <row r="173" spans="1:10" x14ac:dyDescent="0.35">
      <c r="C173" t="s">
        <v>91</v>
      </c>
      <c r="D173" s="7">
        <v>100000</v>
      </c>
    </row>
    <row r="174" spans="1:10" x14ac:dyDescent="0.35">
      <c r="C174" t="s">
        <v>92</v>
      </c>
      <c r="D174" s="3">
        <v>6.7500000000000004E-2</v>
      </c>
    </row>
    <row r="175" spans="1:10" x14ac:dyDescent="0.35">
      <c r="C175" t="s">
        <v>93</v>
      </c>
      <c r="D175">
        <f>D169-D168</f>
        <v>365</v>
      </c>
    </row>
    <row r="176" spans="1:10" x14ac:dyDescent="0.35">
      <c r="C176" t="s">
        <v>94</v>
      </c>
      <c r="D176">
        <v>1</v>
      </c>
    </row>
    <row r="178" spans="1:10" x14ac:dyDescent="0.35">
      <c r="C178" t="s">
        <v>95</v>
      </c>
      <c r="D178" t="s">
        <v>96</v>
      </c>
      <c r="E178" t="s">
        <v>97</v>
      </c>
      <c r="F178" t="s">
        <v>98</v>
      </c>
      <c r="G178" t="s">
        <v>99</v>
      </c>
    </row>
    <row r="179" spans="1:10" x14ac:dyDescent="0.35">
      <c r="C179" s="1">
        <v>45688</v>
      </c>
      <c r="D179" s="2">
        <f t="shared" ref="D179" si="40">EDATE(C179,3)</f>
        <v>45777</v>
      </c>
      <c r="E179" s="1">
        <f>EDATE(C179,12)</f>
        <v>46053</v>
      </c>
      <c r="F179">
        <f>D179-C179</f>
        <v>89</v>
      </c>
      <c r="G179">
        <f>E179-C179</f>
        <v>365</v>
      </c>
      <c r="I179" s="8" t="s">
        <v>100</v>
      </c>
      <c r="J179" s="9">
        <f>$D$173*$D$174*F179/G179</f>
        <v>1645.8904109589041</v>
      </c>
    </row>
    <row r="180" spans="1:10" x14ac:dyDescent="0.35">
      <c r="C180" s="2">
        <f t="shared" ref="C180:C182" si="41">D179</f>
        <v>45777</v>
      </c>
      <c r="D180" s="2">
        <f>EDATE(C179,6)</f>
        <v>45869</v>
      </c>
      <c r="E180" s="1">
        <f t="shared" ref="E180:E182" si="42">EDATE(C180,12)</f>
        <v>46142</v>
      </c>
      <c r="F180">
        <f t="shared" ref="F180:F182" si="43">D180-C180</f>
        <v>92</v>
      </c>
      <c r="G180">
        <f t="shared" ref="G180:G182" si="44">E180-C180</f>
        <v>365</v>
      </c>
      <c r="I180" s="8" t="s">
        <v>101</v>
      </c>
      <c r="J180" s="9">
        <f t="shared" ref="J180:J182" si="45">$D$173*$D$174*F180/G180</f>
        <v>1701.3698630136987</v>
      </c>
    </row>
    <row r="181" spans="1:10" x14ac:dyDescent="0.35">
      <c r="C181" s="2">
        <f t="shared" si="41"/>
        <v>45869</v>
      </c>
      <c r="D181" s="2">
        <f>EDATE(C179,9)</f>
        <v>45961</v>
      </c>
      <c r="E181" s="1">
        <f t="shared" si="42"/>
        <v>46234</v>
      </c>
      <c r="F181">
        <f t="shared" si="43"/>
        <v>92</v>
      </c>
      <c r="G181">
        <f t="shared" si="44"/>
        <v>365</v>
      </c>
      <c r="I181" s="8" t="s">
        <v>102</v>
      </c>
      <c r="J181" s="9">
        <f t="shared" si="45"/>
        <v>1701.3698630136987</v>
      </c>
    </row>
    <row r="182" spans="1:10" x14ac:dyDescent="0.35">
      <c r="C182" s="2">
        <f t="shared" si="41"/>
        <v>45961</v>
      </c>
      <c r="D182" s="2">
        <f>EDATE(C179,12)</f>
        <v>46053</v>
      </c>
      <c r="E182" s="1">
        <f t="shared" si="42"/>
        <v>46326</v>
      </c>
      <c r="F182">
        <f t="shared" si="43"/>
        <v>92</v>
      </c>
      <c r="G182">
        <f t="shared" si="44"/>
        <v>365</v>
      </c>
      <c r="I182" s="8" t="s">
        <v>103</v>
      </c>
      <c r="J182" s="9">
        <f t="shared" si="45"/>
        <v>1701.3698630136987</v>
      </c>
    </row>
    <row r="183" spans="1:10" x14ac:dyDescent="0.35">
      <c r="C183" s="2"/>
      <c r="D183" s="2"/>
      <c r="E183" s="1"/>
      <c r="J183" s="7"/>
    </row>
    <row r="184" spans="1:10" x14ac:dyDescent="0.35">
      <c r="C184" s="23" t="s">
        <v>143</v>
      </c>
      <c r="D184" s="23" t="s">
        <v>144</v>
      </c>
      <c r="E184" s="1"/>
      <c r="J184" s="7"/>
    </row>
    <row r="185" spans="1:10" x14ac:dyDescent="0.35">
      <c r="C185" s="23">
        <v>45777</v>
      </c>
      <c r="D185" s="24">
        <f>J179</f>
        <v>1645.8904109589041</v>
      </c>
      <c r="E185" s="1"/>
      <c r="J185" s="7"/>
    </row>
    <row r="186" spans="1:10" x14ac:dyDescent="0.35">
      <c r="C186" s="23">
        <v>45869</v>
      </c>
      <c r="D186" s="24">
        <f t="shared" ref="D186:D188" si="46">J180</f>
        <v>1701.3698630136987</v>
      </c>
      <c r="E186" s="1"/>
      <c r="J186" s="7"/>
    </row>
    <row r="187" spans="1:10" x14ac:dyDescent="0.35">
      <c r="C187" s="23">
        <v>45961</v>
      </c>
      <c r="D187" s="24">
        <f t="shared" si="46"/>
        <v>1701.3698630136987</v>
      </c>
    </row>
    <row r="188" spans="1:10" x14ac:dyDescent="0.35">
      <c r="C188" s="23">
        <v>46053</v>
      </c>
      <c r="D188" s="24">
        <f t="shared" si="46"/>
        <v>1701.3698630136987</v>
      </c>
    </row>
    <row r="189" spans="1:10" x14ac:dyDescent="0.35">
      <c r="C189" s="2"/>
      <c r="E189" s="1"/>
      <c r="J189" s="7"/>
    </row>
    <row r="190" spans="1:10" x14ac:dyDescent="0.35">
      <c r="A190">
        <v>31</v>
      </c>
      <c r="B190" t="s">
        <v>11</v>
      </c>
      <c r="C190" t="s">
        <v>82</v>
      </c>
      <c r="D190" s="1">
        <v>45626</v>
      </c>
    </row>
    <row r="191" spans="1:10" x14ac:dyDescent="0.35">
      <c r="C191" t="s">
        <v>83</v>
      </c>
      <c r="D191" s="2">
        <f>EDATE(D190,24)</f>
        <v>46356</v>
      </c>
    </row>
    <row r="192" spans="1:10" x14ac:dyDescent="0.35">
      <c r="C192" t="s">
        <v>89</v>
      </c>
      <c r="D192" t="s">
        <v>85</v>
      </c>
    </row>
    <row r="193" spans="3:10" x14ac:dyDescent="0.35">
      <c r="C193" t="s">
        <v>90</v>
      </c>
      <c r="D193" t="s">
        <v>86</v>
      </c>
    </row>
    <row r="194" spans="3:10" x14ac:dyDescent="0.35">
      <c r="C194" t="s">
        <v>133</v>
      </c>
      <c r="D194" t="s">
        <v>125</v>
      </c>
    </row>
    <row r="195" spans="3:10" x14ac:dyDescent="0.35">
      <c r="C195" t="s">
        <v>91</v>
      </c>
      <c r="D195" s="7">
        <v>200000</v>
      </c>
    </row>
    <row r="196" spans="3:10" x14ac:dyDescent="0.35">
      <c r="C196" t="s">
        <v>92</v>
      </c>
      <c r="D196" s="3">
        <v>7.4499999999999997E-2</v>
      </c>
    </row>
    <row r="197" spans="3:10" x14ac:dyDescent="0.35">
      <c r="C197" t="s">
        <v>93</v>
      </c>
      <c r="D197">
        <f>D191-D190</f>
        <v>730</v>
      </c>
    </row>
    <row r="198" spans="3:10" x14ac:dyDescent="0.35">
      <c r="C198" t="s">
        <v>94</v>
      </c>
      <c r="D198">
        <v>2</v>
      </c>
    </row>
    <row r="200" spans="3:10" x14ac:dyDescent="0.35">
      <c r="C200" t="s">
        <v>95</v>
      </c>
      <c r="D200" t="s">
        <v>96</v>
      </c>
      <c r="E200" t="s">
        <v>97</v>
      </c>
      <c r="F200" t="s">
        <v>98</v>
      </c>
      <c r="G200" t="s">
        <v>99</v>
      </c>
    </row>
    <row r="201" spans="3:10" x14ac:dyDescent="0.35">
      <c r="C201" s="1">
        <v>45626</v>
      </c>
      <c r="D201" s="2">
        <f t="shared" ref="D201" si="47">EDATE(C201,3)</f>
        <v>45716</v>
      </c>
      <c r="E201" s="1">
        <f>EDATE(C201,12)</f>
        <v>45991</v>
      </c>
      <c r="F201">
        <f>D201-C201</f>
        <v>90</v>
      </c>
      <c r="G201">
        <f>E201-C201</f>
        <v>365</v>
      </c>
      <c r="I201" s="8" t="s">
        <v>100</v>
      </c>
      <c r="J201" s="9">
        <f>$D$195*$D$196*F201/G201</f>
        <v>3673.972602739726</v>
      </c>
    </row>
    <row r="202" spans="3:10" x14ac:dyDescent="0.35">
      <c r="C202" s="2">
        <f t="shared" ref="C202:C208" si="48">D201</f>
        <v>45716</v>
      </c>
      <c r="D202" s="2">
        <f>EDATE(C201,6)</f>
        <v>45807</v>
      </c>
      <c r="E202" s="1">
        <f t="shared" ref="E202:E208" si="49">EDATE(C202,12)</f>
        <v>46081</v>
      </c>
      <c r="F202">
        <f t="shared" ref="F202:F208" si="50">D202-C202</f>
        <v>91</v>
      </c>
      <c r="G202">
        <f t="shared" ref="G202:G208" si="51">E202-C202</f>
        <v>365</v>
      </c>
      <c r="I202" s="8" t="s">
        <v>101</v>
      </c>
      <c r="J202" s="9">
        <f t="shared" ref="J202:J208" si="52">$D$195*$D$196*F202/G202</f>
        <v>3714.794520547945</v>
      </c>
    </row>
    <row r="203" spans="3:10" x14ac:dyDescent="0.35">
      <c r="C203" s="2">
        <f t="shared" si="48"/>
        <v>45807</v>
      </c>
      <c r="D203" s="2">
        <f>EDATE(C201,9)</f>
        <v>45899</v>
      </c>
      <c r="E203" s="1">
        <f t="shared" si="49"/>
        <v>46172</v>
      </c>
      <c r="F203">
        <f t="shared" si="50"/>
        <v>92</v>
      </c>
      <c r="G203">
        <f t="shared" si="51"/>
        <v>365</v>
      </c>
      <c r="I203" s="8" t="s">
        <v>102</v>
      </c>
      <c r="J203" s="9">
        <f t="shared" si="52"/>
        <v>3755.6164383561645</v>
      </c>
    </row>
    <row r="204" spans="3:10" x14ac:dyDescent="0.35">
      <c r="C204" s="2">
        <f t="shared" si="48"/>
        <v>45899</v>
      </c>
      <c r="D204" s="2">
        <f>EDATE(C201,12)</f>
        <v>45991</v>
      </c>
      <c r="E204" s="1">
        <f t="shared" si="49"/>
        <v>46264</v>
      </c>
      <c r="F204">
        <f t="shared" si="50"/>
        <v>92</v>
      </c>
      <c r="G204">
        <f t="shared" si="51"/>
        <v>365</v>
      </c>
      <c r="I204" s="8" t="s">
        <v>103</v>
      </c>
      <c r="J204" s="9">
        <f t="shared" si="52"/>
        <v>3755.6164383561645</v>
      </c>
    </row>
    <row r="205" spans="3:10" x14ac:dyDescent="0.35">
      <c r="C205" s="2">
        <f t="shared" si="48"/>
        <v>45991</v>
      </c>
      <c r="D205" s="2">
        <f>EDATE(C201,15)</f>
        <v>46081</v>
      </c>
      <c r="E205" s="1">
        <f t="shared" si="49"/>
        <v>46356</v>
      </c>
      <c r="F205">
        <f t="shared" si="50"/>
        <v>90</v>
      </c>
      <c r="G205">
        <f t="shared" si="51"/>
        <v>365</v>
      </c>
      <c r="I205" s="8" t="s">
        <v>104</v>
      </c>
      <c r="J205" s="9">
        <f t="shared" si="52"/>
        <v>3673.972602739726</v>
      </c>
    </row>
    <row r="206" spans="3:10" x14ac:dyDescent="0.35">
      <c r="C206" s="2">
        <f t="shared" si="48"/>
        <v>46081</v>
      </c>
      <c r="D206" s="2">
        <f>EDATE(C201,18)</f>
        <v>46172</v>
      </c>
      <c r="E206" s="1">
        <f t="shared" si="49"/>
        <v>46446</v>
      </c>
      <c r="F206">
        <f t="shared" si="50"/>
        <v>91</v>
      </c>
      <c r="G206">
        <f t="shared" si="51"/>
        <v>365</v>
      </c>
      <c r="I206" s="8" t="s">
        <v>105</v>
      </c>
      <c r="J206" s="9">
        <f t="shared" si="52"/>
        <v>3714.794520547945</v>
      </c>
    </row>
    <row r="207" spans="3:10" x14ac:dyDescent="0.35">
      <c r="C207" s="2">
        <f t="shared" si="48"/>
        <v>46172</v>
      </c>
      <c r="D207" s="2">
        <f>EDATE(C201,21)</f>
        <v>46264</v>
      </c>
      <c r="E207" s="1">
        <f t="shared" si="49"/>
        <v>46537</v>
      </c>
      <c r="F207">
        <f t="shared" si="50"/>
        <v>92</v>
      </c>
      <c r="G207">
        <f t="shared" si="51"/>
        <v>365</v>
      </c>
      <c r="I207" s="8" t="s">
        <v>106</v>
      </c>
      <c r="J207" s="9">
        <f t="shared" si="52"/>
        <v>3755.6164383561645</v>
      </c>
    </row>
    <row r="208" spans="3:10" x14ac:dyDescent="0.35">
      <c r="C208" s="2">
        <f t="shared" si="48"/>
        <v>46264</v>
      </c>
      <c r="D208" s="2">
        <f>EDATE(C201,24)</f>
        <v>46356</v>
      </c>
      <c r="E208" s="1">
        <f t="shared" si="49"/>
        <v>46629</v>
      </c>
      <c r="F208">
        <f t="shared" si="50"/>
        <v>92</v>
      </c>
      <c r="G208">
        <f t="shared" si="51"/>
        <v>365</v>
      </c>
      <c r="I208" s="8" t="s">
        <v>107</v>
      </c>
      <c r="J208" s="9">
        <f t="shared" si="52"/>
        <v>3755.6164383561645</v>
      </c>
    </row>
    <row r="211" spans="1:5" x14ac:dyDescent="0.35">
      <c r="D211" s="25" t="s">
        <v>145</v>
      </c>
      <c r="E211" s="25" t="s">
        <v>146</v>
      </c>
    </row>
    <row r="212" spans="1:5" x14ac:dyDescent="0.35">
      <c r="D212" s="26">
        <v>45716</v>
      </c>
      <c r="E212" s="27">
        <f>J201</f>
        <v>3673.972602739726</v>
      </c>
    </row>
    <row r="213" spans="1:5" x14ac:dyDescent="0.35">
      <c r="D213" s="26">
        <v>45807</v>
      </c>
      <c r="E213" s="27">
        <f t="shared" ref="E213:E219" si="53">J202</f>
        <v>3714.794520547945</v>
      </c>
    </row>
    <row r="214" spans="1:5" x14ac:dyDescent="0.35">
      <c r="D214" s="26">
        <v>45899</v>
      </c>
      <c r="E214" s="27">
        <f t="shared" si="53"/>
        <v>3755.6164383561645</v>
      </c>
    </row>
    <row r="215" spans="1:5" x14ac:dyDescent="0.35">
      <c r="D215" s="26">
        <v>45991</v>
      </c>
      <c r="E215" s="27">
        <f t="shared" si="53"/>
        <v>3755.6164383561645</v>
      </c>
    </row>
    <row r="216" spans="1:5" x14ac:dyDescent="0.35">
      <c r="D216" s="26">
        <v>46081</v>
      </c>
      <c r="E216" s="27">
        <f t="shared" si="53"/>
        <v>3673.972602739726</v>
      </c>
    </row>
    <row r="217" spans="1:5" x14ac:dyDescent="0.35">
      <c r="D217" s="26">
        <v>46172</v>
      </c>
      <c r="E217" s="27">
        <f t="shared" si="53"/>
        <v>3714.794520547945</v>
      </c>
    </row>
    <row r="218" spans="1:5" x14ac:dyDescent="0.35">
      <c r="D218" s="26">
        <v>46264</v>
      </c>
      <c r="E218" s="27">
        <f t="shared" si="53"/>
        <v>3755.6164383561645</v>
      </c>
    </row>
    <row r="219" spans="1:5" x14ac:dyDescent="0.35">
      <c r="D219" s="26">
        <v>46356</v>
      </c>
      <c r="E219" s="27">
        <f t="shared" si="53"/>
        <v>3755.6164383561645</v>
      </c>
    </row>
    <row r="221" spans="1:5" x14ac:dyDescent="0.35">
      <c r="A221">
        <v>32</v>
      </c>
      <c r="B221" t="s">
        <v>12</v>
      </c>
      <c r="C221" t="s">
        <v>82</v>
      </c>
      <c r="D221" s="1">
        <v>45717</v>
      </c>
    </row>
    <row r="222" spans="1:5" x14ac:dyDescent="0.35">
      <c r="C222" t="s">
        <v>83</v>
      </c>
      <c r="D222" s="2">
        <f>EDATE(D221,24)</f>
        <v>46447</v>
      </c>
    </row>
    <row r="223" spans="1:5" x14ac:dyDescent="0.35">
      <c r="C223" t="s">
        <v>89</v>
      </c>
      <c r="D223" t="s">
        <v>85</v>
      </c>
    </row>
    <row r="224" spans="1:5" x14ac:dyDescent="0.35">
      <c r="C224" t="s">
        <v>90</v>
      </c>
      <c r="D224" t="s">
        <v>84</v>
      </c>
    </row>
    <row r="225" spans="3:10" x14ac:dyDescent="0.35">
      <c r="C225" t="s">
        <v>133</v>
      </c>
      <c r="D225" t="s">
        <v>125</v>
      </c>
    </row>
    <row r="226" spans="3:10" x14ac:dyDescent="0.35">
      <c r="C226" t="s">
        <v>91</v>
      </c>
      <c r="D226" s="7">
        <v>29900000</v>
      </c>
    </row>
    <row r="227" spans="3:10" x14ac:dyDescent="0.35">
      <c r="C227" t="s">
        <v>92</v>
      </c>
      <c r="D227" s="3">
        <v>6.9500000000000006E-2</v>
      </c>
    </row>
    <row r="228" spans="3:10" x14ac:dyDescent="0.35">
      <c r="C228" t="s">
        <v>93</v>
      </c>
      <c r="D228">
        <f>D222-D221</f>
        <v>730</v>
      </c>
    </row>
    <row r="229" spans="3:10" x14ac:dyDescent="0.35">
      <c r="C229" t="s">
        <v>94</v>
      </c>
      <c r="D229">
        <v>2</v>
      </c>
    </row>
    <row r="231" spans="3:10" x14ac:dyDescent="0.35">
      <c r="C231" t="s">
        <v>95</v>
      </c>
      <c r="D231" t="s">
        <v>96</v>
      </c>
      <c r="E231" t="s">
        <v>97</v>
      </c>
      <c r="F231" t="s">
        <v>98</v>
      </c>
      <c r="G231" t="s">
        <v>99</v>
      </c>
    </row>
    <row r="232" spans="3:10" x14ac:dyDescent="0.35">
      <c r="C232" s="1">
        <v>45717</v>
      </c>
      <c r="D232" s="2">
        <f t="shared" ref="D232:D239" si="54">EDATE(C232,3)</f>
        <v>45809</v>
      </c>
      <c r="E232" s="1">
        <f>EDATE(C232,12)</f>
        <v>46082</v>
      </c>
      <c r="F232">
        <f>D232-C232</f>
        <v>92</v>
      </c>
      <c r="G232">
        <f>E232-C232</f>
        <v>365</v>
      </c>
      <c r="I232" s="8" t="s">
        <v>100</v>
      </c>
      <c r="J232" s="9">
        <f>$D$226*$D$227*F232/G232</f>
        <v>523782.46575342474</v>
      </c>
    </row>
    <row r="233" spans="3:10" x14ac:dyDescent="0.35">
      <c r="C233" s="2">
        <f t="shared" ref="C233:C239" si="55">D232</f>
        <v>45809</v>
      </c>
      <c r="D233" s="2">
        <f t="shared" si="54"/>
        <v>45901</v>
      </c>
      <c r="E233" s="1">
        <f t="shared" ref="E233:E239" si="56">EDATE(C233,12)</f>
        <v>46174</v>
      </c>
      <c r="F233">
        <f t="shared" ref="F233:F239" si="57">D233-C233</f>
        <v>92</v>
      </c>
      <c r="G233">
        <f t="shared" ref="G233:G239" si="58">E233-C233</f>
        <v>365</v>
      </c>
      <c r="I233" s="8" t="s">
        <v>101</v>
      </c>
      <c r="J233" s="9">
        <f t="shared" ref="J233:J239" si="59">$D$226*$D$227*F233/G233</f>
        <v>523782.46575342474</v>
      </c>
    </row>
    <row r="234" spans="3:10" x14ac:dyDescent="0.35">
      <c r="C234" s="2">
        <f t="shared" si="55"/>
        <v>45901</v>
      </c>
      <c r="D234" s="2">
        <f t="shared" si="54"/>
        <v>45992</v>
      </c>
      <c r="E234" s="1">
        <f t="shared" si="56"/>
        <v>46266</v>
      </c>
      <c r="F234">
        <f t="shared" si="57"/>
        <v>91</v>
      </c>
      <c r="G234">
        <f t="shared" si="58"/>
        <v>365</v>
      </c>
      <c r="I234" s="8" t="s">
        <v>102</v>
      </c>
      <c r="J234" s="9">
        <f t="shared" si="59"/>
        <v>518089.17808219185</v>
      </c>
    </row>
    <row r="235" spans="3:10" x14ac:dyDescent="0.35">
      <c r="C235" s="2">
        <f t="shared" si="55"/>
        <v>45992</v>
      </c>
      <c r="D235" s="2">
        <f t="shared" si="54"/>
        <v>46082</v>
      </c>
      <c r="E235" s="1">
        <f t="shared" si="56"/>
        <v>46357</v>
      </c>
      <c r="F235">
        <f t="shared" si="57"/>
        <v>90</v>
      </c>
      <c r="G235">
        <f t="shared" si="58"/>
        <v>365</v>
      </c>
      <c r="I235" s="8" t="s">
        <v>103</v>
      </c>
      <c r="J235" s="9">
        <f t="shared" si="59"/>
        <v>512395.89041095896</v>
      </c>
    </row>
    <row r="236" spans="3:10" x14ac:dyDescent="0.35">
      <c r="C236" s="2">
        <f t="shared" si="55"/>
        <v>46082</v>
      </c>
      <c r="D236" s="2">
        <f t="shared" si="54"/>
        <v>46174</v>
      </c>
      <c r="E236" s="1">
        <f t="shared" si="56"/>
        <v>46447</v>
      </c>
      <c r="F236">
        <f t="shared" si="57"/>
        <v>92</v>
      </c>
      <c r="G236">
        <f t="shared" si="58"/>
        <v>365</v>
      </c>
      <c r="I236" s="8" t="s">
        <v>104</v>
      </c>
      <c r="J236" s="9">
        <f t="shared" si="59"/>
        <v>523782.46575342474</v>
      </c>
    </row>
    <row r="237" spans="3:10" x14ac:dyDescent="0.35">
      <c r="C237" s="2">
        <f t="shared" si="55"/>
        <v>46174</v>
      </c>
      <c r="D237" s="2">
        <f t="shared" si="54"/>
        <v>46266</v>
      </c>
      <c r="E237" s="1">
        <f t="shared" si="56"/>
        <v>46539</v>
      </c>
      <c r="F237">
        <f t="shared" si="57"/>
        <v>92</v>
      </c>
      <c r="G237">
        <f t="shared" si="58"/>
        <v>365</v>
      </c>
      <c r="I237" s="8" t="s">
        <v>105</v>
      </c>
      <c r="J237" s="9">
        <f t="shared" si="59"/>
        <v>523782.46575342474</v>
      </c>
    </row>
    <row r="238" spans="3:10" x14ac:dyDescent="0.35">
      <c r="C238" s="2">
        <f t="shared" si="55"/>
        <v>46266</v>
      </c>
      <c r="D238" s="2">
        <f t="shared" si="54"/>
        <v>46357</v>
      </c>
      <c r="E238" s="1">
        <f t="shared" si="56"/>
        <v>46631</v>
      </c>
      <c r="F238">
        <f t="shared" si="57"/>
        <v>91</v>
      </c>
      <c r="G238">
        <f t="shared" si="58"/>
        <v>365</v>
      </c>
      <c r="I238" s="8" t="s">
        <v>106</v>
      </c>
      <c r="J238" s="9">
        <f t="shared" si="59"/>
        <v>518089.17808219185</v>
      </c>
    </row>
    <row r="239" spans="3:10" x14ac:dyDescent="0.35">
      <c r="C239" s="2">
        <f t="shared" si="55"/>
        <v>46357</v>
      </c>
      <c r="D239" s="2">
        <f t="shared" si="54"/>
        <v>46447</v>
      </c>
      <c r="E239" s="1">
        <f t="shared" si="56"/>
        <v>46722</v>
      </c>
      <c r="F239">
        <f t="shared" si="57"/>
        <v>90</v>
      </c>
      <c r="G239">
        <f t="shared" si="58"/>
        <v>365</v>
      </c>
      <c r="I239" s="8" t="s">
        <v>107</v>
      </c>
      <c r="J239" s="9">
        <f t="shared" si="59"/>
        <v>512395.89041095896</v>
      </c>
    </row>
    <row r="241" spans="1:5" x14ac:dyDescent="0.35">
      <c r="C241" t="s">
        <v>147</v>
      </c>
      <c r="D241" s="25" t="s">
        <v>148</v>
      </c>
      <c r="E241" s="27">
        <f>J232</f>
        <v>523782.46575342474</v>
      </c>
    </row>
    <row r="242" spans="1:5" x14ac:dyDescent="0.35">
      <c r="D242" s="25" t="s">
        <v>149</v>
      </c>
      <c r="E242" s="27">
        <f t="shared" ref="E242:E248" si="60">J233</f>
        <v>523782.46575342474</v>
      </c>
    </row>
    <row r="243" spans="1:5" x14ac:dyDescent="0.35">
      <c r="D243" s="25" t="s">
        <v>150</v>
      </c>
      <c r="E243" s="27">
        <f t="shared" si="60"/>
        <v>518089.17808219185</v>
      </c>
    </row>
    <row r="244" spans="1:5" x14ac:dyDescent="0.35">
      <c r="D244" s="25" t="s">
        <v>151</v>
      </c>
      <c r="E244" s="27">
        <f t="shared" si="60"/>
        <v>512395.89041095896</v>
      </c>
    </row>
    <row r="245" spans="1:5" x14ac:dyDescent="0.35">
      <c r="D245" s="25" t="s">
        <v>152</v>
      </c>
      <c r="E245" s="27">
        <f t="shared" si="60"/>
        <v>523782.46575342474</v>
      </c>
    </row>
    <row r="246" spans="1:5" x14ac:dyDescent="0.35">
      <c r="D246" s="25" t="s">
        <v>153</v>
      </c>
      <c r="E246" s="27">
        <f t="shared" si="60"/>
        <v>523782.46575342474</v>
      </c>
    </row>
    <row r="247" spans="1:5" x14ac:dyDescent="0.35">
      <c r="D247" s="25" t="s">
        <v>154</v>
      </c>
      <c r="E247" s="27">
        <f t="shared" si="60"/>
        <v>518089.17808219185</v>
      </c>
    </row>
    <row r="248" spans="1:5" x14ac:dyDescent="0.35">
      <c r="D248" s="25" t="s">
        <v>155</v>
      </c>
      <c r="E248" s="27">
        <f t="shared" si="60"/>
        <v>512395.89041095896</v>
      </c>
    </row>
    <row r="249" spans="1:5" x14ac:dyDescent="0.35">
      <c r="E249" s="7">
        <f>SUM(E241:E248)</f>
        <v>4156100.0000000005</v>
      </c>
    </row>
    <row r="250" spans="1:5" x14ac:dyDescent="0.35">
      <c r="A250">
        <v>33</v>
      </c>
      <c r="B250" t="s">
        <v>13</v>
      </c>
      <c r="C250" t="s">
        <v>82</v>
      </c>
      <c r="D250" s="1">
        <v>45672</v>
      </c>
    </row>
    <row r="251" spans="1:5" x14ac:dyDescent="0.35">
      <c r="C251" t="s">
        <v>83</v>
      </c>
      <c r="D251" s="2">
        <f>EDATE(D250,24)</f>
        <v>46402</v>
      </c>
    </row>
    <row r="252" spans="1:5" x14ac:dyDescent="0.35">
      <c r="C252" t="s">
        <v>89</v>
      </c>
      <c r="D252" t="s">
        <v>85</v>
      </c>
    </row>
    <row r="253" spans="1:5" x14ac:dyDescent="0.35">
      <c r="C253" t="s">
        <v>90</v>
      </c>
      <c r="D253" t="s">
        <v>86</v>
      </c>
    </row>
    <row r="254" spans="1:5" x14ac:dyDescent="0.35">
      <c r="C254" t="s">
        <v>133</v>
      </c>
      <c r="D254" t="s">
        <v>125</v>
      </c>
    </row>
    <row r="255" spans="1:5" x14ac:dyDescent="0.35">
      <c r="C255" t="s">
        <v>91</v>
      </c>
      <c r="D255" s="7">
        <v>125000</v>
      </c>
    </row>
    <row r="256" spans="1:5" x14ac:dyDescent="0.35">
      <c r="C256" t="s">
        <v>92</v>
      </c>
      <c r="D256" s="3">
        <v>7.4499999999999997E-2</v>
      </c>
    </row>
    <row r="257" spans="3:10" x14ac:dyDescent="0.35">
      <c r="C257" t="s">
        <v>93</v>
      </c>
      <c r="D257">
        <f>D251-D250</f>
        <v>730</v>
      </c>
    </row>
    <row r="258" spans="3:10" x14ac:dyDescent="0.35">
      <c r="C258" t="s">
        <v>94</v>
      </c>
      <c r="D258">
        <v>2</v>
      </c>
    </row>
    <row r="260" spans="3:10" x14ac:dyDescent="0.35">
      <c r="C260" t="s">
        <v>95</v>
      </c>
      <c r="D260" t="s">
        <v>96</v>
      </c>
      <c r="E260" t="s">
        <v>97</v>
      </c>
      <c r="F260" t="s">
        <v>98</v>
      </c>
      <c r="G260" t="s">
        <v>99</v>
      </c>
    </row>
    <row r="261" spans="3:10" x14ac:dyDescent="0.35">
      <c r="C261" s="1">
        <v>45672</v>
      </c>
      <c r="D261" s="2">
        <f t="shared" ref="D261:D268" si="61">EDATE(C261,3)</f>
        <v>45762</v>
      </c>
      <c r="E261" s="1">
        <f>EDATE(C261,12)</f>
        <v>46037</v>
      </c>
      <c r="F261">
        <f>D261-C261</f>
        <v>90</v>
      </c>
      <c r="G261">
        <f>E261-C261</f>
        <v>365</v>
      </c>
      <c r="I261" s="8" t="s">
        <v>100</v>
      </c>
      <c r="J261" s="9">
        <f>$D$255*$D$256*F261/G261</f>
        <v>2296.2328767123286</v>
      </c>
    </row>
    <row r="262" spans="3:10" x14ac:dyDescent="0.35">
      <c r="C262" s="2">
        <f t="shared" ref="C262:C268" si="62">D261</f>
        <v>45762</v>
      </c>
      <c r="D262" s="2">
        <f t="shared" si="61"/>
        <v>45853</v>
      </c>
      <c r="E262" s="1">
        <f t="shared" ref="E262:E268" si="63">EDATE(C262,12)</f>
        <v>46127</v>
      </c>
      <c r="F262">
        <f t="shared" ref="F262:F268" si="64">D262-C262</f>
        <v>91</v>
      </c>
      <c r="G262">
        <f t="shared" ref="G262:G268" si="65">E262-C262</f>
        <v>365</v>
      </c>
      <c r="I262" s="8" t="s">
        <v>101</v>
      </c>
      <c r="J262" s="9">
        <f t="shared" ref="J262:J268" si="66">$D$255*$D$256*F262/G262</f>
        <v>2321.7465753424658</v>
      </c>
    </row>
    <row r="263" spans="3:10" x14ac:dyDescent="0.35">
      <c r="C263" s="2">
        <f t="shared" si="62"/>
        <v>45853</v>
      </c>
      <c r="D263" s="2">
        <f t="shared" si="61"/>
        <v>45945</v>
      </c>
      <c r="E263" s="1">
        <f t="shared" si="63"/>
        <v>46218</v>
      </c>
      <c r="F263">
        <f t="shared" si="64"/>
        <v>92</v>
      </c>
      <c r="G263">
        <f t="shared" si="65"/>
        <v>365</v>
      </c>
      <c r="I263" s="8" t="s">
        <v>102</v>
      </c>
      <c r="J263" s="9">
        <f t="shared" si="66"/>
        <v>2347.2602739726026</v>
      </c>
    </row>
    <row r="264" spans="3:10" x14ac:dyDescent="0.35">
      <c r="C264" s="2">
        <f t="shared" si="62"/>
        <v>45945</v>
      </c>
      <c r="D264" s="2">
        <f t="shared" si="61"/>
        <v>46037</v>
      </c>
      <c r="E264" s="1">
        <f t="shared" si="63"/>
        <v>46310</v>
      </c>
      <c r="F264">
        <f t="shared" si="64"/>
        <v>92</v>
      </c>
      <c r="G264">
        <f t="shared" si="65"/>
        <v>365</v>
      </c>
      <c r="I264" s="8" t="s">
        <v>103</v>
      </c>
      <c r="J264" s="9">
        <f t="shared" si="66"/>
        <v>2347.2602739726026</v>
      </c>
    </row>
    <row r="265" spans="3:10" x14ac:dyDescent="0.35">
      <c r="C265" s="2">
        <f t="shared" si="62"/>
        <v>46037</v>
      </c>
      <c r="D265" s="2">
        <f t="shared" si="61"/>
        <v>46127</v>
      </c>
      <c r="E265" s="1">
        <f t="shared" si="63"/>
        <v>46402</v>
      </c>
      <c r="F265">
        <f t="shared" si="64"/>
        <v>90</v>
      </c>
      <c r="G265">
        <f t="shared" si="65"/>
        <v>365</v>
      </c>
      <c r="I265" s="8" t="s">
        <v>104</v>
      </c>
      <c r="J265" s="9">
        <f t="shared" si="66"/>
        <v>2296.2328767123286</v>
      </c>
    </row>
    <row r="266" spans="3:10" x14ac:dyDescent="0.35">
      <c r="C266" s="2">
        <f t="shared" si="62"/>
        <v>46127</v>
      </c>
      <c r="D266" s="2">
        <f t="shared" si="61"/>
        <v>46218</v>
      </c>
      <c r="E266" s="1">
        <f t="shared" si="63"/>
        <v>46492</v>
      </c>
      <c r="F266">
        <f t="shared" si="64"/>
        <v>91</v>
      </c>
      <c r="G266">
        <f t="shared" si="65"/>
        <v>365</v>
      </c>
      <c r="I266" s="8" t="s">
        <v>105</v>
      </c>
      <c r="J266" s="9">
        <f t="shared" si="66"/>
        <v>2321.7465753424658</v>
      </c>
    </row>
    <row r="267" spans="3:10" x14ac:dyDescent="0.35">
      <c r="C267" s="2">
        <f t="shared" si="62"/>
        <v>46218</v>
      </c>
      <c r="D267" s="2">
        <f t="shared" si="61"/>
        <v>46310</v>
      </c>
      <c r="E267" s="1">
        <f t="shared" si="63"/>
        <v>46583</v>
      </c>
      <c r="F267">
        <f t="shared" si="64"/>
        <v>92</v>
      </c>
      <c r="G267">
        <f t="shared" si="65"/>
        <v>365</v>
      </c>
      <c r="I267" s="8" t="s">
        <v>106</v>
      </c>
      <c r="J267" s="9">
        <f t="shared" si="66"/>
        <v>2347.2602739726026</v>
      </c>
    </row>
    <row r="268" spans="3:10" x14ac:dyDescent="0.35">
      <c r="C268" s="2">
        <f t="shared" si="62"/>
        <v>46310</v>
      </c>
      <c r="D268" s="2">
        <f t="shared" si="61"/>
        <v>46402</v>
      </c>
      <c r="E268" s="1">
        <f t="shared" si="63"/>
        <v>46675</v>
      </c>
      <c r="F268">
        <f t="shared" si="64"/>
        <v>92</v>
      </c>
      <c r="G268">
        <f t="shared" si="65"/>
        <v>365</v>
      </c>
      <c r="I268" s="8" t="s">
        <v>107</v>
      </c>
      <c r="J268" s="9">
        <f t="shared" si="66"/>
        <v>2347.2602739726026</v>
      </c>
    </row>
    <row r="270" spans="3:10" x14ac:dyDescent="0.35">
      <c r="C270" t="s">
        <v>156</v>
      </c>
      <c r="D270" s="25" t="s">
        <v>157</v>
      </c>
      <c r="E270" s="27">
        <f>J261</f>
        <v>2296.2328767123286</v>
      </c>
    </row>
    <row r="271" spans="3:10" x14ac:dyDescent="0.35">
      <c r="D271" s="25" t="s">
        <v>158</v>
      </c>
      <c r="E271" s="27">
        <f t="shared" ref="E271:E277" si="67">J262</f>
        <v>2321.7465753424658</v>
      </c>
    </row>
    <row r="272" spans="3:10" x14ac:dyDescent="0.35">
      <c r="D272" s="25" t="s">
        <v>159</v>
      </c>
      <c r="E272" s="27">
        <f t="shared" si="67"/>
        <v>2347.2602739726026</v>
      </c>
    </row>
    <row r="273" spans="1:5" x14ac:dyDescent="0.35">
      <c r="D273" s="25" t="s">
        <v>160</v>
      </c>
      <c r="E273" s="27">
        <f t="shared" si="67"/>
        <v>2347.2602739726026</v>
      </c>
    </row>
    <row r="274" spans="1:5" x14ac:dyDescent="0.35">
      <c r="D274" s="25" t="s">
        <v>161</v>
      </c>
      <c r="E274" s="27">
        <f t="shared" si="67"/>
        <v>2296.2328767123286</v>
      </c>
    </row>
    <row r="275" spans="1:5" x14ac:dyDescent="0.35">
      <c r="D275" s="25" t="s">
        <v>162</v>
      </c>
      <c r="E275" s="27">
        <f t="shared" si="67"/>
        <v>2321.7465753424658</v>
      </c>
    </row>
    <row r="276" spans="1:5" x14ac:dyDescent="0.35">
      <c r="D276" s="25" t="s">
        <v>163</v>
      </c>
      <c r="E276" s="27">
        <f t="shared" si="67"/>
        <v>2347.2602739726026</v>
      </c>
    </row>
    <row r="277" spans="1:5" x14ac:dyDescent="0.35">
      <c r="D277" s="25" t="s">
        <v>164</v>
      </c>
      <c r="E277" s="27">
        <f t="shared" si="67"/>
        <v>2347.2602739726026</v>
      </c>
    </row>
    <row r="278" spans="1:5" x14ac:dyDescent="0.35">
      <c r="E278" s="7">
        <f>SUM(E270:E277)</f>
        <v>18625</v>
      </c>
    </row>
    <row r="279" spans="1:5" x14ac:dyDescent="0.35">
      <c r="A279">
        <v>34</v>
      </c>
      <c r="B279" t="s">
        <v>14</v>
      </c>
      <c r="C279" t="s">
        <v>82</v>
      </c>
      <c r="D279" s="1">
        <v>45558</v>
      </c>
    </row>
    <row r="280" spans="1:5" x14ac:dyDescent="0.35">
      <c r="C280" t="s">
        <v>83</v>
      </c>
      <c r="D280" s="2">
        <f>EDATE(D279,36)</f>
        <v>46653</v>
      </c>
    </row>
    <row r="281" spans="1:5" x14ac:dyDescent="0.35">
      <c r="C281" t="s">
        <v>89</v>
      </c>
      <c r="D281" t="s">
        <v>85</v>
      </c>
    </row>
    <row r="282" spans="1:5" x14ac:dyDescent="0.35">
      <c r="C282" t="s">
        <v>90</v>
      </c>
      <c r="D282" t="s">
        <v>86</v>
      </c>
    </row>
    <row r="283" spans="1:5" x14ac:dyDescent="0.35">
      <c r="C283" t="s">
        <v>133</v>
      </c>
      <c r="D283" t="s">
        <v>125</v>
      </c>
    </row>
    <row r="284" spans="1:5" x14ac:dyDescent="0.35">
      <c r="C284" t="s">
        <v>91</v>
      </c>
      <c r="D284" s="7">
        <v>300000</v>
      </c>
    </row>
    <row r="285" spans="1:5" x14ac:dyDescent="0.35">
      <c r="C285" t="s">
        <v>92</v>
      </c>
      <c r="D285" s="3">
        <v>0.08</v>
      </c>
    </row>
    <row r="286" spans="1:5" x14ac:dyDescent="0.35">
      <c r="C286" t="s">
        <v>93</v>
      </c>
      <c r="D286">
        <f>D280-D279</f>
        <v>1095</v>
      </c>
    </row>
    <row r="287" spans="1:5" x14ac:dyDescent="0.35">
      <c r="C287" t="s">
        <v>94</v>
      </c>
      <c r="D287">
        <v>3</v>
      </c>
    </row>
    <row r="289" spans="3:10" x14ac:dyDescent="0.35">
      <c r="C289" t="s">
        <v>95</v>
      </c>
      <c r="D289" t="s">
        <v>96</v>
      </c>
      <c r="E289" t="s">
        <v>97</v>
      </c>
      <c r="F289" t="s">
        <v>98</v>
      </c>
      <c r="G289" t="s">
        <v>99</v>
      </c>
    </row>
    <row r="290" spans="3:10" x14ac:dyDescent="0.35">
      <c r="C290" s="1">
        <v>45558</v>
      </c>
      <c r="D290" s="2">
        <f t="shared" ref="D290:D301" si="68">EDATE(C290,3)</f>
        <v>45649</v>
      </c>
      <c r="E290" s="1">
        <f>EDATE(C290,12)</f>
        <v>45923</v>
      </c>
      <c r="F290">
        <f>D290-C290</f>
        <v>91</v>
      </c>
      <c r="G290">
        <f>E290-C290</f>
        <v>365</v>
      </c>
      <c r="I290" s="8" t="s">
        <v>100</v>
      </c>
      <c r="J290" s="9">
        <f>$D$284*$D$285*F290/G290</f>
        <v>5983.5616438356165</v>
      </c>
    </row>
    <row r="291" spans="3:10" x14ac:dyDescent="0.35">
      <c r="C291" s="2">
        <f t="shared" ref="C291:C301" si="69">D290</f>
        <v>45649</v>
      </c>
      <c r="D291" s="2">
        <f t="shared" si="68"/>
        <v>45739</v>
      </c>
      <c r="E291" s="1">
        <f t="shared" ref="E291:E301" si="70">EDATE(C291,12)</f>
        <v>46014</v>
      </c>
      <c r="F291">
        <f t="shared" ref="F291:F301" si="71">D291-C291</f>
        <v>90</v>
      </c>
      <c r="G291">
        <f t="shared" ref="G291:G301" si="72">E291-C291</f>
        <v>365</v>
      </c>
      <c r="I291" s="29" t="s">
        <v>101</v>
      </c>
      <c r="J291" s="9">
        <f t="shared" ref="J291:J301" si="73">$D$284*$D$285*F291/G291</f>
        <v>5917.8082191780823</v>
      </c>
    </row>
    <row r="292" spans="3:10" x14ac:dyDescent="0.35">
      <c r="C292" s="2">
        <f t="shared" si="69"/>
        <v>45739</v>
      </c>
      <c r="D292" s="2">
        <f t="shared" si="68"/>
        <v>45831</v>
      </c>
      <c r="E292" s="1">
        <f t="shared" si="70"/>
        <v>46104</v>
      </c>
      <c r="F292">
        <f t="shared" si="71"/>
        <v>92</v>
      </c>
      <c r="G292">
        <f t="shared" si="72"/>
        <v>365</v>
      </c>
      <c r="I292" s="8" t="s">
        <v>102</v>
      </c>
      <c r="J292" s="9">
        <f t="shared" si="73"/>
        <v>6049.3150684931506</v>
      </c>
    </row>
    <row r="293" spans="3:10" x14ac:dyDescent="0.35">
      <c r="C293" s="2">
        <f t="shared" si="69"/>
        <v>45831</v>
      </c>
      <c r="D293" s="2">
        <f t="shared" si="68"/>
        <v>45923</v>
      </c>
      <c r="E293" s="1">
        <f t="shared" si="70"/>
        <v>46196</v>
      </c>
      <c r="F293">
        <f t="shared" si="71"/>
        <v>92</v>
      </c>
      <c r="G293">
        <f t="shared" si="72"/>
        <v>365</v>
      </c>
      <c r="I293" s="8" t="s">
        <v>103</v>
      </c>
      <c r="J293" s="9">
        <f t="shared" si="73"/>
        <v>6049.3150684931506</v>
      </c>
    </row>
    <row r="294" spans="3:10" x14ac:dyDescent="0.35">
      <c r="C294" s="2">
        <f t="shared" si="69"/>
        <v>45923</v>
      </c>
      <c r="D294" s="2">
        <f t="shared" si="68"/>
        <v>46014</v>
      </c>
      <c r="E294" s="1">
        <f t="shared" si="70"/>
        <v>46288</v>
      </c>
      <c r="F294">
        <f t="shared" si="71"/>
        <v>91</v>
      </c>
      <c r="G294">
        <f t="shared" si="72"/>
        <v>365</v>
      </c>
      <c r="I294" s="29" t="s">
        <v>104</v>
      </c>
      <c r="J294" s="9">
        <f t="shared" si="73"/>
        <v>5983.5616438356165</v>
      </c>
    </row>
    <row r="295" spans="3:10" x14ac:dyDescent="0.35">
      <c r="C295" s="2">
        <f t="shared" si="69"/>
        <v>46014</v>
      </c>
      <c r="D295" s="2">
        <f t="shared" si="68"/>
        <v>46104</v>
      </c>
      <c r="E295" s="1">
        <f t="shared" si="70"/>
        <v>46379</v>
      </c>
      <c r="F295">
        <f t="shared" si="71"/>
        <v>90</v>
      </c>
      <c r="G295">
        <f t="shared" si="72"/>
        <v>365</v>
      </c>
      <c r="I295" s="8" t="s">
        <v>105</v>
      </c>
      <c r="J295" s="9">
        <f t="shared" si="73"/>
        <v>5917.8082191780823</v>
      </c>
    </row>
    <row r="296" spans="3:10" x14ac:dyDescent="0.35">
      <c r="C296" s="2">
        <f t="shared" si="69"/>
        <v>46104</v>
      </c>
      <c r="D296" s="2">
        <f t="shared" si="68"/>
        <v>46196</v>
      </c>
      <c r="E296" s="1">
        <f t="shared" si="70"/>
        <v>46469</v>
      </c>
      <c r="F296">
        <f t="shared" si="71"/>
        <v>92</v>
      </c>
      <c r="G296">
        <f t="shared" si="72"/>
        <v>365</v>
      </c>
      <c r="I296" s="8" t="s">
        <v>106</v>
      </c>
      <c r="J296" s="9">
        <f t="shared" si="73"/>
        <v>6049.3150684931506</v>
      </c>
    </row>
    <row r="297" spans="3:10" x14ac:dyDescent="0.35">
      <c r="C297" s="2">
        <f t="shared" si="69"/>
        <v>46196</v>
      </c>
      <c r="D297" s="2">
        <f t="shared" si="68"/>
        <v>46288</v>
      </c>
      <c r="E297" s="1">
        <f t="shared" si="70"/>
        <v>46561</v>
      </c>
      <c r="F297">
        <f t="shared" si="71"/>
        <v>92</v>
      </c>
      <c r="G297">
        <f t="shared" si="72"/>
        <v>365</v>
      </c>
      <c r="I297" s="8" t="s">
        <v>107</v>
      </c>
      <c r="J297" s="9">
        <f t="shared" si="73"/>
        <v>6049.3150684931506</v>
      </c>
    </row>
    <row r="298" spans="3:10" x14ac:dyDescent="0.35">
      <c r="C298" s="2">
        <f t="shared" si="69"/>
        <v>46288</v>
      </c>
      <c r="D298" s="2">
        <f t="shared" si="68"/>
        <v>46379</v>
      </c>
      <c r="E298" s="1">
        <f t="shared" si="70"/>
        <v>46653</v>
      </c>
      <c r="F298">
        <f t="shared" si="71"/>
        <v>91</v>
      </c>
      <c r="G298">
        <f t="shared" si="72"/>
        <v>365</v>
      </c>
      <c r="I298" s="8" t="s">
        <v>134</v>
      </c>
      <c r="J298" s="9">
        <f t="shared" si="73"/>
        <v>5983.5616438356165</v>
      </c>
    </row>
    <row r="299" spans="3:10" x14ac:dyDescent="0.35">
      <c r="C299" s="2">
        <f t="shared" si="69"/>
        <v>46379</v>
      </c>
      <c r="D299" s="2">
        <f t="shared" si="68"/>
        <v>46469</v>
      </c>
      <c r="E299" s="1">
        <f t="shared" si="70"/>
        <v>46744</v>
      </c>
      <c r="F299">
        <f t="shared" si="71"/>
        <v>90</v>
      </c>
      <c r="G299">
        <f t="shared" si="72"/>
        <v>365</v>
      </c>
      <c r="I299" s="8" t="s">
        <v>135</v>
      </c>
      <c r="J299" s="9">
        <f t="shared" si="73"/>
        <v>5917.8082191780823</v>
      </c>
    </row>
    <row r="300" spans="3:10" x14ac:dyDescent="0.35">
      <c r="C300" s="2">
        <f t="shared" si="69"/>
        <v>46469</v>
      </c>
      <c r="D300" s="2">
        <f t="shared" si="68"/>
        <v>46561</v>
      </c>
      <c r="E300" s="1">
        <f t="shared" si="70"/>
        <v>46835</v>
      </c>
      <c r="F300">
        <f t="shared" si="71"/>
        <v>92</v>
      </c>
      <c r="G300">
        <f t="shared" si="72"/>
        <v>366</v>
      </c>
      <c r="I300" s="8" t="s">
        <v>136</v>
      </c>
      <c r="J300" s="9">
        <f t="shared" si="73"/>
        <v>6032.7868852459014</v>
      </c>
    </row>
    <row r="301" spans="3:10" x14ac:dyDescent="0.35">
      <c r="C301" s="2">
        <f t="shared" si="69"/>
        <v>46561</v>
      </c>
      <c r="D301" s="2">
        <f t="shared" si="68"/>
        <v>46653</v>
      </c>
      <c r="E301" s="1">
        <f t="shared" si="70"/>
        <v>46927</v>
      </c>
      <c r="F301">
        <f t="shared" si="71"/>
        <v>92</v>
      </c>
      <c r="G301">
        <f t="shared" si="72"/>
        <v>366</v>
      </c>
      <c r="I301" s="8" t="s">
        <v>137</v>
      </c>
      <c r="J301" s="9">
        <f t="shared" si="73"/>
        <v>6032.7868852459014</v>
      </c>
    </row>
    <row r="304" spans="3:10" x14ac:dyDescent="0.35">
      <c r="C304" s="19" t="s">
        <v>165</v>
      </c>
      <c r="D304" s="19"/>
    </row>
    <row r="305" spans="1:10" x14ac:dyDescent="0.35">
      <c r="C305" s="19" t="s">
        <v>158</v>
      </c>
      <c r="D305" s="28">
        <f>J291</f>
        <v>5917.8082191780823</v>
      </c>
    </row>
    <row r="306" spans="1:10" x14ac:dyDescent="0.35">
      <c r="C306" s="19" t="s">
        <v>161</v>
      </c>
      <c r="D306" s="28">
        <f>J294</f>
        <v>5983.5616438356165</v>
      </c>
    </row>
    <row r="308" spans="1:10" x14ac:dyDescent="0.35">
      <c r="A308">
        <v>35</v>
      </c>
      <c r="B308" t="s">
        <v>15</v>
      </c>
      <c r="C308" t="s">
        <v>82</v>
      </c>
      <c r="D308" s="1">
        <v>45809</v>
      </c>
    </row>
    <row r="309" spans="1:10" x14ac:dyDescent="0.35">
      <c r="C309" t="s">
        <v>83</v>
      </c>
      <c r="D309" s="2">
        <f>D308+91</f>
        <v>45900</v>
      </c>
    </row>
    <row r="310" spans="1:10" x14ac:dyDescent="0.35">
      <c r="C310" t="s">
        <v>89</v>
      </c>
      <c r="D310" t="s">
        <v>85</v>
      </c>
    </row>
    <row r="311" spans="1:10" x14ac:dyDescent="0.35">
      <c r="C311" t="s">
        <v>90</v>
      </c>
      <c r="D311" t="s">
        <v>84</v>
      </c>
    </row>
    <row r="312" spans="1:10" x14ac:dyDescent="0.35">
      <c r="C312" t="s">
        <v>133</v>
      </c>
      <c r="D312" t="s">
        <v>125</v>
      </c>
    </row>
    <row r="313" spans="1:10" x14ac:dyDescent="0.35">
      <c r="C313" t="s">
        <v>91</v>
      </c>
      <c r="D313" s="7">
        <v>50000</v>
      </c>
    </row>
    <row r="314" spans="1:10" x14ac:dyDescent="0.35">
      <c r="C314" t="s">
        <v>92</v>
      </c>
      <c r="D314" s="3">
        <v>5.3999999999999999E-2</v>
      </c>
    </row>
    <row r="315" spans="1:10" x14ac:dyDescent="0.35">
      <c r="C315" t="s">
        <v>93</v>
      </c>
      <c r="D315">
        <f>D309-D308</f>
        <v>91</v>
      </c>
    </row>
    <row r="316" spans="1:10" x14ac:dyDescent="0.35">
      <c r="C316" t="s">
        <v>94</v>
      </c>
      <c r="D316">
        <f>91/365</f>
        <v>0.24931506849315069</v>
      </c>
    </row>
    <row r="318" spans="1:10" x14ac:dyDescent="0.35">
      <c r="C318" t="s">
        <v>95</v>
      </c>
      <c r="D318" t="s">
        <v>96</v>
      </c>
      <c r="E318" t="s">
        <v>97</v>
      </c>
      <c r="F318" t="s">
        <v>98</v>
      </c>
      <c r="G318" t="s">
        <v>99</v>
      </c>
    </row>
    <row r="319" spans="1:10" x14ac:dyDescent="0.35">
      <c r="C319" s="1">
        <v>45809</v>
      </c>
      <c r="D319" s="2">
        <f>C319+91</f>
        <v>45900</v>
      </c>
      <c r="E319" s="1">
        <f>EDATE(C319,12)</f>
        <v>46174</v>
      </c>
      <c r="F319">
        <f>D319-C319</f>
        <v>91</v>
      </c>
      <c r="G319">
        <f>E319-C319</f>
        <v>365</v>
      </c>
      <c r="I319" s="8" t="s">
        <v>100</v>
      </c>
      <c r="J319" s="9">
        <f>$D$313*$D$314*F319/G319</f>
        <v>673.15068493150682</v>
      </c>
    </row>
    <row r="320" spans="1:10" x14ac:dyDescent="0.35">
      <c r="C320" s="2"/>
      <c r="D320" s="2"/>
      <c r="E320" s="1"/>
      <c r="J320" s="7"/>
    </row>
    <row r="321" spans="1:10" x14ac:dyDescent="0.35">
      <c r="C321" t="s">
        <v>166</v>
      </c>
      <c r="D321" s="28">
        <f>J319</f>
        <v>673.15068493150682</v>
      </c>
    </row>
    <row r="323" spans="1:10" x14ac:dyDescent="0.35">
      <c r="A323">
        <v>36</v>
      </c>
      <c r="B323" t="s">
        <v>16</v>
      </c>
      <c r="C323" t="s">
        <v>82</v>
      </c>
      <c r="D323" s="1">
        <v>45383</v>
      </c>
    </row>
    <row r="324" spans="1:10" x14ac:dyDescent="0.35">
      <c r="C324" t="s">
        <v>83</v>
      </c>
      <c r="D324" s="2">
        <f>EDATE(D323,60)</f>
        <v>47209</v>
      </c>
    </row>
    <row r="325" spans="1:10" x14ac:dyDescent="0.35">
      <c r="C325" t="s">
        <v>89</v>
      </c>
      <c r="D325" t="s">
        <v>87</v>
      </c>
    </row>
    <row r="326" spans="1:10" x14ac:dyDescent="0.35">
      <c r="C326" t="s">
        <v>90</v>
      </c>
      <c r="D326" t="s">
        <v>86</v>
      </c>
    </row>
    <row r="327" spans="1:10" x14ac:dyDescent="0.35">
      <c r="C327" t="s">
        <v>133</v>
      </c>
      <c r="D327" t="s">
        <v>125</v>
      </c>
    </row>
    <row r="328" spans="1:10" x14ac:dyDescent="0.35">
      <c r="C328" t="s">
        <v>91</v>
      </c>
      <c r="D328" s="7">
        <v>40000000</v>
      </c>
    </row>
    <row r="329" spans="1:10" x14ac:dyDescent="0.35">
      <c r="C329" t="s">
        <v>92</v>
      </c>
      <c r="D329" s="3">
        <v>7.6999999999999999E-2</v>
      </c>
    </row>
    <row r="330" spans="1:10" x14ac:dyDescent="0.35">
      <c r="C330" t="s">
        <v>93</v>
      </c>
      <c r="D330">
        <f>D324-D323</f>
        <v>1826</v>
      </c>
    </row>
    <row r="331" spans="1:10" x14ac:dyDescent="0.35">
      <c r="C331" t="s">
        <v>94</v>
      </c>
      <c r="D331">
        <v>5</v>
      </c>
    </row>
    <row r="333" spans="1:10" x14ac:dyDescent="0.35">
      <c r="C333" t="s">
        <v>95</v>
      </c>
      <c r="D333" t="s">
        <v>96</v>
      </c>
      <c r="E333" t="s">
        <v>97</v>
      </c>
      <c r="F333" t="s">
        <v>98</v>
      </c>
      <c r="G333" t="s">
        <v>99</v>
      </c>
    </row>
    <row r="334" spans="1:10" x14ac:dyDescent="0.35">
      <c r="C334" s="1">
        <v>45383</v>
      </c>
      <c r="D334" s="2">
        <f t="shared" ref="D334" si="74">EDATE(C334,3)</f>
        <v>45474</v>
      </c>
      <c r="E334" s="1">
        <f>EDATE(C334,12)</f>
        <v>45748</v>
      </c>
      <c r="F334">
        <f>D334-C334</f>
        <v>91</v>
      </c>
      <c r="G334">
        <f>E334-C334</f>
        <v>365</v>
      </c>
      <c r="I334" s="8" t="s">
        <v>100</v>
      </c>
      <c r="J334" s="9">
        <f>D328*D329*F334/G334</f>
        <v>767890.41095890407</v>
      </c>
    </row>
    <row r="335" spans="1:10" x14ac:dyDescent="0.35">
      <c r="C335" s="2"/>
      <c r="D335" s="2"/>
      <c r="E335" s="1"/>
      <c r="J335" s="7"/>
    </row>
    <row r="336" spans="1:10" x14ac:dyDescent="0.35">
      <c r="C336" s="2" t="s">
        <v>167</v>
      </c>
      <c r="D336" s="4">
        <f>J334</f>
        <v>767890.41095890407</v>
      </c>
      <c r="E336" s="1"/>
      <c r="J336" s="7"/>
    </row>
    <row r="337" spans="1:10" x14ac:dyDescent="0.35">
      <c r="C337" s="2"/>
      <c r="D337" s="2"/>
      <c r="E337" s="1"/>
      <c r="J337" s="7"/>
    </row>
    <row r="338" spans="1:10" x14ac:dyDescent="0.35">
      <c r="A338">
        <v>37</v>
      </c>
      <c r="B338" t="s">
        <v>17</v>
      </c>
      <c r="C338" t="s">
        <v>82</v>
      </c>
      <c r="D338" s="1">
        <v>45731</v>
      </c>
    </row>
    <row r="339" spans="1:10" x14ac:dyDescent="0.35">
      <c r="C339" t="s">
        <v>83</v>
      </c>
      <c r="D339" s="2">
        <f>EDATE(D338,24)</f>
        <v>46461</v>
      </c>
    </row>
    <row r="340" spans="1:10" x14ac:dyDescent="0.35">
      <c r="C340" t="s">
        <v>89</v>
      </c>
      <c r="D340" t="s">
        <v>85</v>
      </c>
    </row>
    <row r="341" spans="1:10" x14ac:dyDescent="0.35">
      <c r="C341" t="s">
        <v>90</v>
      </c>
      <c r="D341" t="s">
        <v>168</v>
      </c>
    </row>
    <row r="342" spans="1:10" x14ac:dyDescent="0.35">
      <c r="C342" t="s">
        <v>133</v>
      </c>
      <c r="D342" t="s">
        <v>125</v>
      </c>
    </row>
    <row r="343" spans="1:10" x14ac:dyDescent="0.35">
      <c r="C343" t="s">
        <v>91</v>
      </c>
      <c r="D343" s="7">
        <v>100000</v>
      </c>
    </row>
    <row r="344" spans="1:10" x14ac:dyDescent="0.35">
      <c r="C344" t="s">
        <v>92</v>
      </c>
      <c r="D344" s="3">
        <v>6.9500000000000006E-2</v>
      </c>
    </row>
    <row r="345" spans="1:10" x14ac:dyDescent="0.35">
      <c r="C345" t="s">
        <v>93</v>
      </c>
      <c r="D345">
        <f>D339-D338</f>
        <v>730</v>
      </c>
    </row>
    <row r="346" spans="1:10" x14ac:dyDescent="0.35">
      <c r="C346" t="s">
        <v>94</v>
      </c>
      <c r="D346">
        <v>2</v>
      </c>
    </row>
    <row r="348" spans="1:10" x14ac:dyDescent="0.35">
      <c r="C348" t="s">
        <v>95</v>
      </c>
      <c r="D348" t="s">
        <v>96</v>
      </c>
      <c r="E348" t="s">
        <v>97</v>
      </c>
      <c r="F348" t="s">
        <v>98</v>
      </c>
      <c r="G348" t="s">
        <v>99</v>
      </c>
    </row>
    <row r="349" spans="1:10" x14ac:dyDescent="0.35">
      <c r="C349" s="1">
        <v>45731</v>
      </c>
      <c r="D349" s="2">
        <f t="shared" ref="D349" si="75">EDATE(C349,3)</f>
        <v>45823</v>
      </c>
      <c r="E349" s="1">
        <f>EDATE(C349,12)</f>
        <v>46096</v>
      </c>
      <c r="F349">
        <f>D349-C349</f>
        <v>92</v>
      </c>
      <c r="G349">
        <f>E349-C349</f>
        <v>365</v>
      </c>
      <c r="I349" s="8" t="s">
        <v>100</v>
      </c>
      <c r="J349" s="9">
        <f>D343*D344*F349/G349</f>
        <v>1751.7808219178085</v>
      </c>
    </row>
    <row r="351" spans="1:10" x14ac:dyDescent="0.35">
      <c r="C351" s="2" t="s">
        <v>167</v>
      </c>
      <c r="D351" s="28">
        <f>J349</f>
        <v>1751.7808219178085</v>
      </c>
    </row>
    <row r="353" spans="1:10" x14ac:dyDescent="0.35">
      <c r="A353">
        <v>38</v>
      </c>
      <c r="B353" t="s">
        <v>18</v>
      </c>
      <c r="C353" t="s">
        <v>82</v>
      </c>
      <c r="D353" s="1">
        <v>45778</v>
      </c>
    </row>
    <row r="354" spans="1:10" x14ac:dyDescent="0.35">
      <c r="C354" t="s">
        <v>83</v>
      </c>
      <c r="D354" s="2">
        <f>EDATE(D353,18)</f>
        <v>46327</v>
      </c>
    </row>
    <row r="355" spans="1:10" x14ac:dyDescent="0.35">
      <c r="C355" t="s">
        <v>89</v>
      </c>
      <c r="D355" t="s">
        <v>85</v>
      </c>
    </row>
    <row r="356" spans="1:10" x14ac:dyDescent="0.35">
      <c r="C356" t="s">
        <v>90</v>
      </c>
      <c r="D356" t="s">
        <v>168</v>
      </c>
    </row>
    <row r="357" spans="1:10" x14ac:dyDescent="0.35">
      <c r="C357" t="s">
        <v>133</v>
      </c>
      <c r="D357" t="s">
        <v>125</v>
      </c>
    </row>
    <row r="358" spans="1:10" x14ac:dyDescent="0.35">
      <c r="C358" t="s">
        <v>91</v>
      </c>
      <c r="D358" s="7">
        <v>250000</v>
      </c>
    </row>
    <row r="359" spans="1:10" x14ac:dyDescent="0.35">
      <c r="C359" t="s">
        <v>92</v>
      </c>
      <c r="D359" s="3">
        <v>6.7500000000000004E-2</v>
      </c>
    </row>
    <row r="360" spans="1:10" x14ac:dyDescent="0.35">
      <c r="C360" t="s">
        <v>93</v>
      </c>
      <c r="D360">
        <f>D354-D353</f>
        <v>549</v>
      </c>
    </row>
    <row r="361" spans="1:10" x14ac:dyDescent="0.35">
      <c r="C361" t="s">
        <v>94</v>
      </c>
      <c r="D361" t="s">
        <v>140</v>
      </c>
    </row>
    <row r="363" spans="1:10" x14ac:dyDescent="0.35">
      <c r="C363" t="s">
        <v>95</v>
      </c>
      <c r="D363" t="s">
        <v>96</v>
      </c>
      <c r="E363" t="s">
        <v>97</v>
      </c>
      <c r="F363" t="s">
        <v>98</v>
      </c>
      <c r="G363" t="s">
        <v>99</v>
      </c>
    </row>
    <row r="364" spans="1:10" x14ac:dyDescent="0.35">
      <c r="C364" s="1">
        <v>45778</v>
      </c>
      <c r="D364" s="2">
        <f t="shared" ref="D364" si="76">EDATE(C364,3)</f>
        <v>45870</v>
      </c>
      <c r="E364" s="1">
        <f>EDATE(C364,12)</f>
        <v>46143</v>
      </c>
      <c r="F364">
        <f>D364-C364</f>
        <v>92</v>
      </c>
      <c r="G364">
        <f>E364-C364</f>
        <v>365</v>
      </c>
      <c r="I364" s="8" t="s">
        <v>100</v>
      </c>
      <c r="J364" s="9">
        <f>D358*D359*F364/G364</f>
        <v>4253.4246575342468</v>
      </c>
    </row>
    <row r="366" spans="1:10" x14ac:dyDescent="0.35">
      <c r="C366" s="2" t="s">
        <v>167</v>
      </c>
      <c r="D366" s="28">
        <f>J364</f>
        <v>4253.4246575342468</v>
      </c>
    </row>
    <row r="368" spans="1:10" x14ac:dyDescent="0.35">
      <c r="A368">
        <v>39</v>
      </c>
      <c r="B368" t="s">
        <v>19</v>
      </c>
      <c r="C368" t="s">
        <v>82</v>
      </c>
      <c r="D368" s="1">
        <v>45558</v>
      </c>
    </row>
    <row r="369" spans="3:10" x14ac:dyDescent="0.35">
      <c r="C369" t="s">
        <v>83</v>
      </c>
      <c r="D369" s="2">
        <f>EDATE(D368,36)</f>
        <v>46653</v>
      </c>
    </row>
    <row r="370" spans="3:10" x14ac:dyDescent="0.35">
      <c r="C370" t="s">
        <v>89</v>
      </c>
      <c r="D370" t="s">
        <v>85</v>
      </c>
    </row>
    <row r="371" spans="3:10" x14ac:dyDescent="0.35">
      <c r="C371" t="s">
        <v>90</v>
      </c>
      <c r="D371" t="s">
        <v>86</v>
      </c>
    </row>
    <row r="372" spans="3:10" x14ac:dyDescent="0.35">
      <c r="C372" t="s">
        <v>133</v>
      </c>
      <c r="D372" t="s">
        <v>125</v>
      </c>
    </row>
    <row r="373" spans="3:10" x14ac:dyDescent="0.35">
      <c r="C373" t="s">
        <v>91</v>
      </c>
      <c r="D373" s="7">
        <v>100000</v>
      </c>
    </row>
    <row r="374" spans="3:10" x14ac:dyDescent="0.35">
      <c r="C374" t="s">
        <v>92</v>
      </c>
      <c r="D374" s="3">
        <v>0.08</v>
      </c>
    </row>
    <row r="375" spans="3:10" x14ac:dyDescent="0.35">
      <c r="C375" t="s">
        <v>93</v>
      </c>
      <c r="D375">
        <f>D369-D368</f>
        <v>1095</v>
      </c>
    </row>
    <row r="376" spans="3:10" x14ac:dyDescent="0.35">
      <c r="C376" t="s">
        <v>94</v>
      </c>
      <c r="D376">
        <v>3</v>
      </c>
    </row>
    <row r="378" spans="3:10" x14ac:dyDescent="0.35">
      <c r="C378" t="s">
        <v>95</v>
      </c>
      <c r="D378" t="s">
        <v>96</v>
      </c>
      <c r="E378" t="s">
        <v>97</v>
      </c>
      <c r="F378" t="s">
        <v>98</v>
      </c>
      <c r="G378" t="s">
        <v>99</v>
      </c>
    </row>
    <row r="379" spans="3:10" x14ac:dyDescent="0.35">
      <c r="C379" s="1">
        <v>45558</v>
      </c>
      <c r="D379" s="2">
        <f t="shared" ref="D379:D390" si="77">EDATE(C379,3)</f>
        <v>45649</v>
      </c>
      <c r="E379" s="1">
        <f>EDATE(C379,12)</f>
        <v>45923</v>
      </c>
      <c r="F379">
        <f>D379-C379</f>
        <v>91</v>
      </c>
      <c r="G379">
        <f>E379-C379</f>
        <v>365</v>
      </c>
      <c r="I379" s="8" t="s">
        <v>100</v>
      </c>
      <c r="J379" s="9">
        <f>$D$373*$D$374*F379/G379</f>
        <v>1994.5205479452054</v>
      </c>
    </row>
    <row r="380" spans="3:10" x14ac:dyDescent="0.35">
      <c r="C380" s="2">
        <f t="shared" ref="C380:C390" si="78">D379</f>
        <v>45649</v>
      </c>
      <c r="D380" s="2">
        <f t="shared" si="77"/>
        <v>45739</v>
      </c>
      <c r="E380" s="1">
        <f t="shared" ref="E380:E390" si="79">EDATE(C380,12)</f>
        <v>46014</v>
      </c>
      <c r="F380">
        <f t="shared" ref="F380:F390" si="80">D380-C380</f>
        <v>90</v>
      </c>
      <c r="G380">
        <f t="shared" ref="G380:G390" si="81">E380-C380</f>
        <v>365</v>
      </c>
      <c r="I380" s="8" t="s">
        <v>101</v>
      </c>
      <c r="J380" s="9">
        <f t="shared" ref="J380:J390" si="82">$D$373*$D$374*F380/G380</f>
        <v>1972.6027397260275</v>
      </c>
    </row>
    <row r="381" spans="3:10" x14ac:dyDescent="0.35">
      <c r="C381" s="2">
        <f t="shared" si="78"/>
        <v>45739</v>
      </c>
      <c r="D381" s="2">
        <f t="shared" si="77"/>
        <v>45831</v>
      </c>
      <c r="E381" s="1">
        <f t="shared" si="79"/>
        <v>46104</v>
      </c>
      <c r="F381">
        <f t="shared" si="80"/>
        <v>92</v>
      </c>
      <c r="G381">
        <f t="shared" si="81"/>
        <v>365</v>
      </c>
      <c r="I381" s="8" t="s">
        <v>102</v>
      </c>
      <c r="J381" s="9">
        <f t="shared" si="82"/>
        <v>2016.4383561643835</v>
      </c>
    </row>
    <row r="382" spans="3:10" x14ac:dyDescent="0.35">
      <c r="C382" s="2">
        <f t="shared" si="78"/>
        <v>45831</v>
      </c>
      <c r="D382" s="2">
        <f t="shared" si="77"/>
        <v>45923</v>
      </c>
      <c r="E382" s="1">
        <f t="shared" si="79"/>
        <v>46196</v>
      </c>
      <c r="F382">
        <f t="shared" si="80"/>
        <v>92</v>
      </c>
      <c r="G382">
        <f t="shared" si="81"/>
        <v>365</v>
      </c>
      <c r="I382" s="8" t="s">
        <v>103</v>
      </c>
      <c r="J382" s="9">
        <f t="shared" si="82"/>
        <v>2016.4383561643835</v>
      </c>
    </row>
    <row r="383" spans="3:10" x14ac:dyDescent="0.35">
      <c r="C383" s="2">
        <f t="shared" si="78"/>
        <v>45923</v>
      </c>
      <c r="D383" s="2">
        <f t="shared" si="77"/>
        <v>46014</v>
      </c>
      <c r="E383" s="1">
        <f t="shared" si="79"/>
        <v>46288</v>
      </c>
      <c r="F383">
        <f t="shared" si="80"/>
        <v>91</v>
      </c>
      <c r="G383">
        <f t="shared" si="81"/>
        <v>365</v>
      </c>
      <c r="I383" s="8" t="s">
        <v>104</v>
      </c>
      <c r="J383" s="9">
        <f t="shared" si="82"/>
        <v>1994.5205479452054</v>
      </c>
    </row>
    <row r="384" spans="3:10" x14ac:dyDescent="0.35">
      <c r="C384" s="2">
        <f t="shared" si="78"/>
        <v>46014</v>
      </c>
      <c r="D384" s="2">
        <f t="shared" si="77"/>
        <v>46104</v>
      </c>
      <c r="E384" s="1">
        <f t="shared" si="79"/>
        <v>46379</v>
      </c>
      <c r="F384">
        <f t="shared" si="80"/>
        <v>90</v>
      </c>
      <c r="G384">
        <f t="shared" si="81"/>
        <v>365</v>
      </c>
      <c r="I384" s="8" t="s">
        <v>105</v>
      </c>
      <c r="J384" s="9">
        <f t="shared" si="82"/>
        <v>1972.6027397260275</v>
      </c>
    </row>
    <row r="385" spans="1:10" x14ac:dyDescent="0.35">
      <c r="C385" s="2">
        <f t="shared" si="78"/>
        <v>46104</v>
      </c>
      <c r="D385" s="2">
        <f t="shared" si="77"/>
        <v>46196</v>
      </c>
      <c r="E385" s="1">
        <f t="shared" si="79"/>
        <v>46469</v>
      </c>
      <c r="F385">
        <f t="shared" si="80"/>
        <v>92</v>
      </c>
      <c r="G385">
        <f t="shared" si="81"/>
        <v>365</v>
      </c>
      <c r="I385" s="8" t="s">
        <v>106</v>
      </c>
      <c r="J385" s="9">
        <f t="shared" si="82"/>
        <v>2016.4383561643835</v>
      </c>
    </row>
    <row r="386" spans="1:10" x14ac:dyDescent="0.35">
      <c r="C386" s="2">
        <f t="shared" si="78"/>
        <v>46196</v>
      </c>
      <c r="D386" s="2">
        <f t="shared" si="77"/>
        <v>46288</v>
      </c>
      <c r="E386" s="1">
        <f t="shared" si="79"/>
        <v>46561</v>
      </c>
      <c r="F386">
        <f t="shared" si="80"/>
        <v>92</v>
      </c>
      <c r="G386">
        <f t="shared" si="81"/>
        <v>365</v>
      </c>
      <c r="I386" s="8" t="s">
        <v>107</v>
      </c>
      <c r="J386" s="9">
        <f t="shared" si="82"/>
        <v>2016.4383561643835</v>
      </c>
    </row>
    <row r="387" spans="1:10" x14ac:dyDescent="0.35">
      <c r="C387" s="2">
        <f t="shared" si="78"/>
        <v>46288</v>
      </c>
      <c r="D387" s="2">
        <f t="shared" si="77"/>
        <v>46379</v>
      </c>
      <c r="E387" s="1">
        <f t="shared" si="79"/>
        <v>46653</v>
      </c>
      <c r="F387">
        <f t="shared" si="80"/>
        <v>91</v>
      </c>
      <c r="G387">
        <f t="shared" si="81"/>
        <v>365</v>
      </c>
      <c r="I387" s="8" t="s">
        <v>134</v>
      </c>
      <c r="J387" s="9">
        <f t="shared" si="82"/>
        <v>1994.5205479452054</v>
      </c>
    </row>
    <row r="388" spans="1:10" x14ac:dyDescent="0.35">
      <c r="C388" s="2">
        <f t="shared" si="78"/>
        <v>46379</v>
      </c>
      <c r="D388" s="2">
        <f t="shared" si="77"/>
        <v>46469</v>
      </c>
      <c r="E388" s="1">
        <f t="shared" si="79"/>
        <v>46744</v>
      </c>
      <c r="F388">
        <f t="shared" si="80"/>
        <v>90</v>
      </c>
      <c r="G388">
        <f t="shared" si="81"/>
        <v>365</v>
      </c>
      <c r="I388" s="8" t="s">
        <v>135</v>
      </c>
      <c r="J388" s="9">
        <f t="shared" si="82"/>
        <v>1972.6027397260275</v>
      </c>
    </row>
    <row r="389" spans="1:10" x14ac:dyDescent="0.35">
      <c r="C389" s="2">
        <f t="shared" si="78"/>
        <v>46469</v>
      </c>
      <c r="D389" s="2">
        <f t="shared" si="77"/>
        <v>46561</v>
      </c>
      <c r="E389" s="1">
        <f t="shared" si="79"/>
        <v>46835</v>
      </c>
      <c r="F389">
        <f t="shared" si="80"/>
        <v>92</v>
      </c>
      <c r="G389">
        <f t="shared" si="81"/>
        <v>366</v>
      </c>
      <c r="I389" s="8" t="s">
        <v>136</v>
      </c>
      <c r="J389" s="9">
        <f t="shared" si="82"/>
        <v>2010.9289617486338</v>
      </c>
    </row>
    <row r="390" spans="1:10" x14ac:dyDescent="0.35">
      <c r="C390" s="2">
        <f t="shared" si="78"/>
        <v>46561</v>
      </c>
      <c r="D390" s="2">
        <f t="shared" si="77"/>
        <v>46653</v>
      </c>
      <c r="E390" s="1">
        <f t="shared" si="79"/>
        <v>46927</v>
      </c>
      <c r="F390">
        <f t="shared" si="80"/>
        <v>92</v>
      </c>
      <c r="G390">
        <f t="shared" si="81"/>
        <v>366</v>
      </c>
      <c r="I390" s="8" t="s">
        <v>137</v>
      </c>
      <c r="J390" s="9">
        <f t="shared" si="82"/>
        <v>2010.9289617486338</v>
      </c>
    </row>
    <row r="391" spans="1:10" x14ac:dyDescent="0.35">
      <c r="C391" s="2"/>
      <c r="D391" s="2"/>
      <c r="E391" s="1"/>
      <c r="J391" s="7"/>
    </row>
    <row r="392" spans="1:10" x14ac:dyDescent="0.35">
      <c r="C392" s="2" t="s">
        <v>169</v>
      </c>
      <c r="D392" s="2" t="s">
        <v>170</v>
      </c>
      <c r="E392" s="22">
        <f>J389</f>
        <v>2010.9289617486338</v>
      </c>
      <c r="J392" s="7"/>
    </row>
    <row r="393" spans="1:10" x14ac:dyDescent="0.35">
      <c r="D393" t="s">
        <v>171</v>
      </c>
      <c r="E393" s="28">
        <f>J390</f>
        <v>2010.9289617486338</v>
      </c>
    </row>
    <row r="395" spans="1:10" x14ac:dyDescent="0.35">
      <c r="A395">
        <v>40</v>
      </c>
      <c r="B395" t="s">
        <v>20</v>
      </c>
      <c r="C395" t="s">
        <v>82</v>
      </c>
      <c r="D395" s="1">
        <v>45717</v>
      </c>
    </row>
    <row r="396" spans="1:10" x14ac:dyDescent="0.35">
      <c r="C396" t="s">
        <v>83</v>
      </c>
      <c r="D396" s="2">
        <f>EDATE(D395,12)</f>
        <v>46082</v>
      </c>
    </row>
    <row r="397" spans="1:10" x14ac:dyDescent="0.35">
      <c r="C397" t="s">
        <v>89</v>
      </c>
      <c r="D397" t="s">
        <v>85</v>
      </c>
    </row>
    <row r="398" spans="1:10" x14ac:dyDescent="0.35">
      <c r="C398" t="s">
        <v>90</v>
      </c>
      <c r="D398" t="s">
        <v>86</v>
      </c>
    </row>
    <row r="399" spans="1:10" x14ac:dyDescent="0.35">
      <c r="C399" t="s">
        <v>133</v>
      </c>
      <c r="D399" t="s">
        <v>127</v>
      </c>
    </row>
    <row r="400" spans="1:10" x14ac:dyDescent="0.35">
      <c r="C400" t="s">
        <v>91</v>
      </c>
      <c r="D400" s="7">
        <v>500000</v>
      </c>
    </row>
    <row r="401" spans="3:10" x14ac:dyDescent="0.35">
      <c r="C401" t="s">
        <v>92</v>
      </c>
      <c r="D401" s="3">
        <v>7.2499999999999995E-2</v>
      </c>
    </row>
    <row r="402" spans="3:10" x14ac:dyDescent="0.35">
      <c r="C402" t="s">
        <v>93</v>
      </c>
      <c r="D402">
        <f>D396-D395</f>
        <v>365</v>
      </c>
    </row>
    <row r="403" spans="3:10" x14ac:dyDescent="0.35">
      <c r="C403" t="s">
        <v>94</v>
      </c>
      <c r="D403">
        <v>1</v>
      </c>
    </row>
    <row r="405" spans="3:10" x14ac:dyDescent="0.35">
      <c r="C405" t="s">
        <v>95</v>
      </c>
      <c r="D405" t="s">
        <v>96</v>
      </c>
      <c r="E405" t="s">
        <v>97</v>
      </c>
      <c r="F405" t="s">
        <v>98</v>
      </c>
      <c r="G405" t="s">
        <v>99</v>
      </c>
    </row>
    <row r="406" spans="3:10" x14ac:dyDescent="0.35">
      <c r="C406" s="1">
        <v>45717</v>
      </c>
      <c r="D406" s="2">
        <f>EDATE(C406,1)</f>
        <v>45748</v>
      </c>
      <c r="E406" s="2">
        <f>EDATE(C406,12)</f>
        <v>46082</v>
      </c>
      <c r="F406">
        <f>D406-C406</f>
        <v>31</v>
      </c>
      <c r="G406">
        <f>E406-C406</f>
        <v>365</v>
      </c>
      <c r="I406" t="s">
        <v>100</v>
      </c>
      <c r="J406">
        <f>$D$400*$D$401*F406/G406</f>
        <v>3078.7671232876714</v>
      </c>
    </row>
    <row r="407" spans="3:10" x14ac:dyDescent="0.35">
      <c r="C407" s="2">
        <f>D406</f>
        <v>45748</v>
      </c>
      <c r="D407" s="2">
        <f>EDATE(C407,1)</f>
        <v>45778</v>
      </c>
      <c r="E407" s="2">
        <f t="shared" ref="E407:E417" si="83">EDATE(C407,12)</f>
        <v>46113</v>
      </c>
      <c r="F407">
        <f t="shared" ref="F407:F417" si="84">D407-C407</f>
        <v>30</v>
      </c>
      <c r="G407">
        <f t="shared" ref="G407:G417" si="85">E407-C407</f>
        <v>365</v>
      </c>
      <c r="I407" t="s">
        <v>101</v>
      </c>
      <c r="J407">
        <f t="shared" ref="J407:J417" si="86">$D$400*$D$401*F407/G407</f>
        <v>2979.4520547945203</v>
      </c>
    </row>
    <row r="408" spans="3:10" x14ac:dyDescent="0.35">
      <c r="C408" s="2">
        <f>D407</f>
        <v>45778</v>
      </c>
      <c r="D408" s="2">
        <f>EDATE(C408,1)</f>
        <v>45809</v>
      </c>
      <c r="E408" s="2">
        <f t="shared" si="83"/>
        <v>46143</v>
      </c>
      <c r="F408">
        <f t="shared" si="84"/>
        <v>31</v>
      </c>
      <c r="G408">
        <f t="shared" si="85"/>
        <v>365</v>
      </c>
      <c r="I408" t="s">
        <v>102</v>
      </c>
      <c r="J408">
        <f t="shared" si="86"/>
        <v>3078.7671232876714</v>
      </c>
    </row>
    <row r="409" spans="3:10" x14ac:dyDescent="0.35">
      <c r="C409" s="2">
        <f>D408</f>
        <v>45809</v>
      </c>
      <c r="D409" s="2">
        <f>EDATE(C409,1)</f>
        <v>45839</v>
      </c>
      <c r="E409" s="2">
        <f t="shared" si="83"/>
        <v>46174</v>
      </c>
      <c r="F409">
        <f t="shared" si="84"/>
        <v>30</v>
      </c>
      <c r="G409">
        <f t="shared" si="85"/>
        <v>365</v>
      </c>
      <c r="I409" t="s">
        <v>103</v>
      </c>
      <c r="J409">
        <f t="shared" si="86"/>
        <v>2979.4520547945203</v>
      </c>
    </row>
    <row r="410" spans="3:10" x14ac:dyDescent="0.35">
      <c r="C410" s="2">
        <f>D409</f>
        <v>45839</v>
      </c>
      <c r="D410" s="2">
        <f>EDATE(C410,1)</f>
        <v>45870</v>
      </c>
      <c r="E410" s="2">
        <f t="shared" si="83"/>
        <v>46204</v>
      </c>
      <c r="F410">
        <f t="shared" si="84"/>
        <v>31</v>
      </c>
      <c r="G410">
        <f t="shared" si="85"/>
        <v>365</v>
      </c>
      <c r="I410" t="s">
        <v>104</v>
      </c>
      <c r="J410">
        <f t="shared" si="86"/>
        <v>3078.7671232876714</v>
      </c>
    </row>
    <row r="411" spans="3:10" x14ac:dyDescent="0.35">
      <c r="C411" s="2">
        <f t="shared" ref="C411:C417" si="87">D410</f>
        <v>45870</v>
      </c>
      <c r="D411" s="2">
        <f t="shared" ref="D411:D417" si="88">EDATE(C411,1)</f>
        <v>45901</v>
      </c>
      <c r="E411" s="2">
        <f t="shared" si="83"/>
        <v>46235</v>
      </c>
      <c r="F411">
        <f t="shared" si="84"/>
        <v>31</v>
      </c>
      <c r="G411">
        <f t="shared" si="85"/>
        <v>365</v>
      </c>
      <c r="I411" t="s">
        <v>105</v>
      </c>
      <c r="J411">
        <f t="shared" si="86"/>
        <v>3078.7671232876714</v>
      </c>
    </row>
    <row r="412" spans="3:10" x14ac:dyDescent="0.35">
      <c r="C412" s="2">
        <f t="shared" si="87"/>
        <v>45901</v>
      </c>
      <c r="D412" s="2">
        <f t="shared" si="88"/>
        <v>45931</v>
      </c>
      <c r="E412" s="2">
        <f t="shared" si="83"/>
        <v>46266</v>
      </c>
      <c r="F412">
        <f t="shared" si="84"/>
        <v>30</v>
      </c>
      <c r="G412">
        <f t="shared" si="85"/>
        <v>365</v>
      </c>
      <c r="I412" t="s">
        <v>106</v>
      </c>
      <c r="J412">
        <f t="shared" si="86"/>
        <v>2979.4520547945203</v>
      </c>
    </row>
    <row r="413" spans="3:10" x14ac:dyDescent="0.35">
      <c r="C413" s="2">
        <f t="shared" si="87"/>
        <v>45931</v>
      </c>
      <c r="D413" s="2">
        <f t="shared" si="88"/>
        <v>45962</v>
      </c>
      <c r="E413" s="2">
        <f t="shared" si="83"/>
        <v>46296</v>
      </c>
      <c r="F413">
        <f t="shared" si="84"/>
        <v>31</v>
      </c>
      <c r="G413">
        <f t="shared" si="85"/>
        <v>365</v>
      </c>
      <c r="I413" t="s">
        <v>107</v>
      </c>
      <c r="J413">
        <f t="shared" si="86"/>
        <v>3078.7671232876714</v>
      </c>
    </row>
    <row r="414" spans="3:10" x14ac:dyDescent="0.35">
      <c r="C414" s="2">
        <f t="shared" si="87"/>
        <v>45962</v>
      </c>
      <c r="D414" s="2">
        <f t="shared" si="88"/>
        <v>45992</v>
      </c>
      <c r="E414" s="2">
        <f t="shared" si="83"/>
        <v>46327</v>
      </c>
      <c r="F414">
        <f t="shared" si="84"/>
        <v>30</v>
      </c>
      <c r="G414">
        <f t="shared" si="85"/>
        <v>365</v>
      </c>
      <c r="I414" t="s">
        <v>134</v>
      </c>
      <c r="J414">
        <f t="shared" si="86"/>
        <v>2979.4520547945203</v>
      </c>
    </row>
    <row r="415" spans="3:10" x14ac:dyDescent="0.35">
      <c r="C415" s="2">
        <f t="shared" si="87"/>
        <v>45992</v>
      </c>
      <c r="D415" s="2">
        <f t="shared" si="88"/>
        <v>46023</v>
      </c>
      <c r="E415" s="2">
        <f t="shared" si="83"/>
        <v>46357</v>
      </c>
      <c r="F415">
        <f t="shared" si="84"/>
        <v>31</v>
      </c>
      <c r="G415">
        <f t="shared" si="85"/>
        <v>365</v>
      </c>
      <c r="I415" t="s">
        <v>135</v>
      </c>
      <c r="J415">
        <f t="shared" si="86"/>
        <v>3078.7671232876714</v>
      </c>
    </row>
    <row r="416" spans="3:10" x14ac:dyDescent="0.35">
      <c r="C416" s="2">
        <f t="shared" si="87"/>
        <v>46023</v>
      </c>
      <c r="D416" s="2">
        <f t="shared" si="88"/>
        <v>46054</v>
      </c>
      <c r="E416" s="2">
        <f t="shared" si="83"/>
        <v>46388</v>
      </c>
      <c r="F416">
        <f t="shared" si="84"/>
        <v>31</v>
      </c>
      <c r="G416">
        <f t="shared" si="85"/>
        <v>365</v>
      </c>
      <c r="I416" t="s">
        <v>136</v>
      </c>
      <c r="J416">
        <f t="shared" si="86"/>
        <v>3078.7671232876714</v>
      </c>
    </row>
    <row r="417" spans="3:10" x14ac:dyDescent="0.35">
      <c r="C417" s="2">
        <f t="shared" si="87"/>
        <v>46054</v>
      </c>
      <c r="D417" s="2">
        <f t="shared" si="88"/>
        <v>46082</v>
      </c>
      <c r="E417" s="2">
        <f t="shared" si="83"/>
        <v>46419</v>
      </c>
      <c r="F417">
        <f t="shared" si="84"/>
        <v>28</v>
      </c>
      <c r="G417">
        <f t="shared" si="85"/>
        <v>365</v>
      </c>
      <c r="I417" t="s">
        <v>137</v>
      </c>
      <c r="J417">
        <f t="shared" si="86"/>
        <v>2780.821917808219</v>
      </c>
    </row>
    <row r="419" spans="3:10" x14ac:dyDescent="0.35">
      <c r="C419" t="s">
        <v>172</v>
      </c>
      <c r="E419" s="25" t="s">
        <v>173</v>
      </c>
      <c r="F419" s="31">
        <f>J406</f>
        <v>3078.7671232876714</v>
      </c>
    </row>
    <row r="420" spans="3:10" x14ac:dyDescent="0.35">
      <c r="E420" s="25" t="s">
        <v>174</v>
      </c>
      <c r="F420" s="31">
        <f t="shared" ref="F420:F430" si="89">J407</f>
        <v>2979.4520547945203</v>
      </c>
    </row>
    <row r="421" spans="3:10" x14ac:dyDescent="0.35">
      <c r="E421" s="25" t="s">
        <v>175</v>
      </c>
      <c r="F421" s="31">
        <f t="shared" si="89"/>
        <v>3078.7671232876714</v>
      </c>
    </row>
    <row r="422" spans="3:10" x14ac:dyDescent="0.35">
      <c r="E422" s="25" t="s">
        <v>176</v>
      </c>
      <c r="F422" s="31">
        <f t="shared" si="89"/>
        <v>2979.4520547945203</v>
      </c>
    </row>
    <row r="423" spans="3:10" x14ac:dyDescent="0.35">
      <c r="E423" s="25" t="s">
        <v>177</v>
      </c>
      <c r="F423" s="31">
        <f t="shared" si="89"/>
        <v>3078.7671232876714</v>
      </c>
    </row>
    <row r="424" spans="3:10" x14ac:dyDescent="0.35">
      <c r="E424" s="25" t="s">
        <v>178</v>
      </c>
      <c r="F424" s="31">
        <f t="shared" si="89"/>
        <v>3078.7671232876714</v>
      </c>
    </row>
    <row r="425" spans="3:10" x14ac:dyDescent="0.35">
      <c r="E425" s="25" t="s">
        <v>179</v>
      </c>
      <c r="F425" s="31">
        <f t="shared" si="89"/>
        <v>2979.4520547945203</v>
      </c>
    </row>
    <row r="426" spans="3:10" x14ac:dyDescent="0.35">
      <c r="E426" s="25" t="s">
        <v>180</v>
      </c>
      <c r="F426" s="31">
        <f t="shared" si="89"/>
        <v>3078.7671232876714</v>
      </c>
    </row>
    <row r="427" spans="3:10" x14ac:dyDescent="0.35">
      <c r="E427" s="25" t="s">
        <v>181</v>
      </c>
      <c r="F427" s="31">
        <f t="shared" si="89"/>
        <v>2979.4520547945203</v>
      </c>
    </row>
    <row r="428" spans="3:10" x14ac:dyDescent="0.35">
      <c r="E428" s="25" t="s">
        <v>182</v>
      </c>
      <c r="F428" s="31">
        <f t="shared" si="89"/>
        <v>3078.7671232876714</v>
      </c>
    </row>
    <row r="429" spans="3:10" x14ac:dyDescent="0.35">
      <c r="E429" s="25" t="s">
        <v>183</v>
      </c>
      <c r="F429" s="31">
        <f t="shared" si="89"/>
        <v>3078.7671232876714</v>
      </c>
    </row>
    <row r="430" spans="3:10" x14ac:dyDescent="0.35">
      <c r="E430" s="25" t="s">
        <v>184</v>
      </c>
      <c r="F430" s="31">
        <f t="shared" si="89"/>
        <v>2780.821917808219</v>
      </c>
    </row>
    <row r="431" spans="3:10" x14ac:dyDescent="0.35">
      <c r="F431" s="5">
        <f>SUM(F419:F430)</f>
        <v>36250.000000000007</v>
      </c>
    </row>
    <row r="432" spans="3:10" x14ac:dyDescent="0.35">
      <c r="C432" s="2"/>
      <c r="D432" s="7"/>
    </row>
    <row r="433" spans="1:10" x14ac:dyDescent="0.35">
      <c r="A433">
        <v>41</v>
      </c>
      <c r="B433" t="s">
        <v>21</v>
      </c>
      <c r="C433" t="s">
        <v>82</v>
      </c>
      <c r="D433" s="1">
        <v>45596</v>
      </c>
      <c r="F433" s="14" t="s">
        <v>126</v>
      </c>
    </row>
    <row r="434" spans="1:10" x14ac:dyDescent="0.35">
      <c r="C434" t="s">
        <v>83</v>
      </c>
      <c r="D434" s="2">
        <f>EDATE(D433,6)</f>
        <v>45777</v>
      </c>
    </row>
    <row r="435" spans="1:10" x14ac:dyDescent="0.35">
      <c r="C435" t="s">
        <v>89</v>
      </c>
      <c r="D435" t="s">
        <v>85</v>
      </c>
    </row>
    <row r="436" spans="1:10" x14ac:dyDescent="0.35">
      <c r="C436" t="s">
        <v>90</v>
      </c>
      <c r="D436" t="s">
        <v>84</v>
      </c>
    </row>
    <row r="437" spans="1:10" x14ac:dyDescent="0.35">
      <c r="C437" t="s">
        <v>91</v>
      </c>
      <c r="D437" s="7">
        <v>200000</v>
      </c>
    </row>
    <row r="438" spans="1:10" x14ac:dyDescent="0.35">
      <c r="C438" t="s">
        <v>92</v>
      </c>
      <c r="D438" s="3">
        <v>6.9500000000000006E-2</v>
      </c>
    </row>
    <row r="439" spans="1:10" x14ac:dyDescent="0.35">
      <c r="C439" t="s">
        <v>93</v>
      </c>
      <c r="D439">
        <f>D434-D433</f>
        <v>181</v>
      </c>
    </row>
    <row r="440" spans="1:10" x14ac:dyDescent="0.35">
      <c r="C440" t="s">
        <v>94</v>
      </c>
      <c r="D440">
        <v>3</v>
      </c>
    </row>
    <row r="442" spans="1:10" x14ac:dyDescent="0.35">
      <c r="C442" t="s">
        <v>95</v>
      </c>
      <c r="D442" t="s">
        <v>96</v>
      </c>
      <c r="E442" t="s">
        <v>97</v>
      </c>
      <c r="F442" t="s">
        <v>98</v>
      </c>
      <c r="G442" t="s">
        <v>99</v>
      </c>
    </row>
    <row r="443" spans="1:10" x14ac:dyDescent="0.35">
      <c r="C443" s="1">
        <v>45596</v>
      </c>
      <c r="D443" s="2">
        <f>EDATE(C443,1)</f>
        <v>45626</v>
      </c>
      <c r="E443" s="2">
        <f>EDATE(C443,12)</f>
        <v>45961</v>
      </c>
      <c r="F443">
        <f>D443-C443</f>
        <v>30</v>
      </c>
      <c r="G443">
        <f>E443-C443</f>
        <v>365</v>
      </c>
      <c r="H443" t="s">
        <v>111</v>
      </c>
      <c r="I443" s="2" t="s">
        <v>100</v>
      </c>
      <c r="J443" s="4">
        <f>$D$437*$D$438*F443/G443</f>
        <v>1142.4657534246578</v>
      </c>
    </row>
    <row r="444" spans="1:10" x14ac:dyDescent="0.35">
      <c r="C444" s="2">
        <f>D443</f>
        <v>45626</v>
      </c>
      <c r="D444" s="2">
        <f>EDATE(C443,2)</f>
        <v>45657</v>
      </c>
      <c r="E444" s="2">
        <f t="shared" ref="E444:E448" si="90">EDATE(C444,12)</f>
        <v>45991</v>
      </c>
      <c r="F444">
        <f t="shared" ref="F444:F448" si="91">D444-C444</f>
        <v>31</v>
      </c>
      <c r="G444">
        <f t="shared" ref="G444:G448" si="92">E444-C444</f>
        <v>365</v>
      </c>
      <c r="I444" t="s">
        <v>101</v>
      </c>
      <c r="J444" s="4">
        <f t="shared" ref="J444:J448" si="93">$D$437*$D$438*F444/G444</f>
        <v>1180.5479452054797</v>
      </c>
    </row>
    <row r="445" spans="1:10" x14ac:dyDescent="0.35">
      <c r="C445" s="2">
        <f>D444</f>
        <v>45657</v>
      </c>
      <c r="D445" s="2">
        <f>EDATE(C443,3)</f>
        <v>45688</v>
      </c>
      <c r="E445" s="2">
        <f t="shared" si="90"/>
        <v>46022</v>
      </c>
      <c r="F445">
        <f t="shared" si="91"/>
        <v>31</v>
      </c>
      <c r="G445">
        <f t="shared" si="92"/>
        <v>365</v>
      </c>
      <c r="I445" s="2" t="s">
        <v>102</v>
      </c>
      <c r="J445" s="4">
        <f t="shared" si="93"/>
        <v>1180.5479452054797</v>
      </c>
    </row>
    <row r="446" spans="1:10" x14ac:dyDescent="0.35">
      <c r="C446" s="2">
        <f>D445</f>
        <v>45688</v>
      </c>
      <c r="D446" s="2">
        <f>EDATE(C443,4)</f>
        <v>45716</v>
      </c>
      <c r="E446" s="2">
        <f t="shared" si="90"/>
        <v>46053</v>
      </c>
      <c r="F446">
        <f t="shared" si="91"/>
        <v>28</v>
      </c>
      <c r="G446">
        <f t="shared" si="92"/>
        <v>365</v>
      </c>
      <c r="I446" t="s">
        <v>103</v>
      </c>
      <c r="J446" s="4">
        <f t="shared" si="93"/>
        <v>1066.3013698630139</v>
      </c>
    </row>
    <row r="447" spans="1:10" x14ac:dyDescent="0.35">
      <c r="C447" s="2">
        <f>D446</f>
        <v>45716</v>
      </c>
      <c r="D447" s="2">
        <f>EDATE(C443,5)</f>
        <v>45747</v>
      </c>
      <c r="E447" s="2">
        <f t="shared" si="90"/>
        <v>46081</v>
      </c>
      <c r="F447">
        <f t="shared" si="91"/>
        <v>31</v>
      </c>
      <c r="G447">
        <f t="shared" si="92"/>
        <v>365</v>
      </c>
      <c r="I447" s="2" t="s">
        <v>104</v>
      </c>
      <c r="J447" s="4">
        <f t="shared" si="93"/>
        <v>1180.5479452054797</v>
      </c>
    </row>
    <row r="448" spans="1:10" x14ac:dyDescent="0.35">
      <c r="C448" s="2">
        <f>D447</f>
        <v>45747</v>
      </c>
      <c r="D448" s="2">
        <f>EDATE(C443,6)</f>
        <v>45777</v>
      </c>
      <c r="E448" s="2">
        <f t="shared" si="90"/>
        <v>46112</v>
      </c>
      <c r="F448">
        <f t="shared" si="91"/>
        <v>30</v>
      </c>
      <c r="G448">
        <f t="shared" si="92"/>
        <v>365</v>
      </c>
      <c r="I448" t="s">
        <v>105</v>
      </c>
      <c r="J448" s="4">
        <f t="shared" si="93"/>
        <v>1142.4657534246578</v>
      </c>
    </row>
    <row r="449" spans="1:10" x14ac:dyDescent="0.35">
      <c r="C449" s="2"/>
      <c r="D449" s="2"/>
      <c r="E449" s="2"/>
      <c r="J449" s="4"/>
    </row>
    <row r="450" spans="1:10" x14ac:dyDescent="0.35">
      <c r="C450" s="13" t="s">
        <v>139</v>
      </c>
      <c r="D450" s="20">
        <f>SUM(J443:J448)</f>
        <v>6892.8767123287689</v>
      </c>
      <c r="E450" s="2"/>
      <c r="J450" s="4"/>
    </row>
    <row r="451" spans="1:10" x14ac:dyDescent="0.35">
      <c r="C451" s="2"/>
      <c r="D451" s="5"/>
      <c r="E451" s="2"/>
      <c r="J451" s="4"/>
    </row>
    <row r="452" spans="1:10" x14ac:dyDescent="0.35">
      <c r="A452" s="8">
        <v>42</v>
      </c>
      <c r="B452" t="s">
        <v>22</v>
      </c>
      <c r="C452" t="s">
        <v>82</v>
      </c>
      <c r="D452" s="1">
        <v>45351</v>
      </c>
    </row>
    <row r="453" spans="1:10" x14ac:dyDescent="0.35">
      <c r="C453" t="s">
        <v>83</v>
      </c>
      <c r="D453" s="2">
        <f>EDATE(D452,12)</f>
        <v>45716</v>
      </c>
    </row>
    <row r="454" spans="1:10" x14ac:dyDescent="0.35">
      <c r="C454" t="s">
        <v>89</v>
      </c>
      <c r="D454" t="s">
        <v>85</v>
      </c>
    </row>
    <row r="455" spans="1:10" x14ac:dyDescent="0.35">
      <c r="C455" t="s">
        <v>90</v>
      </c>
      <c r="D455" t="s">
        <v>84</v>
      </c>
    </row>
    <row r="456" spans="1:10" x14ac:dyDescent="0.35">
      <c r="C456" t="s">
        <v>133</v>
      </c>
      <c r="D456" t="s">
        <v>127</v>
      </c>
    </row>
    <row r="457" spans="1:10" x14ac:dyDescent="0.35">
      <c r="C457" t="s">
        <v>91</v>
      </c>
      <c r="D457" s="7">
        <v>100000</v>
      </c>
    </row>
    <row r="458" spans="1:10" x14ac:dyDescent="0.35">
      <c r="C458" t="s">
        <v>92</v>
      </c>
      <c r="D458" s="3">
        <v>7.5499999999999998E-2</v>
      </c>
    </row>
    <row r="459" spans="1:10" x14ac:dyDescent="0.35">
      <c r="C459" t="s">
        <v>93</v>
      </c>
      <c r="D459">
        <f>D453-D452</f>
        <v>365</v>
      </c>
    </row>
    <row r="460" spans="1:10" x14ac:dyDescent="0.35">
      <c r="C460" t="s">
        <v>94</v>
      </c>
      <c r="D460">
        <v>1</v>
      </c>
    </row>
    <row r="462" spans="1:10" x14ac:dyDescent="0.35">
      <c r="C462" t="s">
        <v>95</v>
      </c>
      <c r="D462" t="s">
        <v>96</v>
      </c>
      <c r="E462" t="s">
        <v>97</v>
      </c>
      <c r="F462" t="s">
        <v>98</v>
      </c>
      <c r="G462" t="s">
        <v>99</v>
      </c>
    </row>
    <row r="463" spans="1:10" x14ac:dyDescent="0.35">
      <c r="C463" s="1">
        <v>45351</v>
      </c>
      <c r="D463" s="2">
        <v>45380</v>
      </c>
      <c r="E463" s="2">
        <f>EDATE(C463,12)</f>
        <v>45716</v>
      </c>
      <c r="F463">
        <f>D463-C463</f>
        <v>29</v>
      </c>
      <c r="G463">
        <f>E463-C463</f>
        <v>365</v>
      </c>
      <c r="I463" t="s">
        <v>100</v>
      </c>
      <c r="J463" s="12">
        <f>$D$457*$D$458*F463/G463</f>
        <v>599.86301369863008</v>
      </c>
    </row>
    <row r="464" spans="1:10" x14ac:dyDescent="0.35">
      <c r="C464" s="2">
        <f>D463</f>
        <v>45380</v>
      </c>
      <c r="D464" s="2">
        <f>EDATE(C464,1)</f>
        <v>45411</v>
      </c>
      <c r="E464" s="2">
        <f t="shared" ref="E464:E474" si="94">EDATE(C464,12)</f>
        <v>45745</v>
      </c>
      <c r="F464">
        <f t="shared" ref="F464:F474" si="95">D464-C464</f>
        <v>31</v>
      </c>
      <c r="G464">
        <f t="shared" ref="G464:G474" si="96">E464-C464</f>
        <v>365</v>
      </c>
      <c r="I464" t="s">
        <v>101</v>
      </c>
      <c r="J464" s="12">
        <f t="shared" ref="J464:J474" si="97">$D$457*$D$458*F464/G464</f>
        <v>641.23287671232879</v>
      </c>
    </row>
    <row r="465" spans="1:10" x14ac:dyDescent="0.35">
      <c r="C465" s="2">
        <f>D464</f>
        <v>45411</v>
      </c>
      <c r="D465" s="2">
        <v>45441</v>
      </c>
      <c r="E465" s="2">
        <f t="shared" si="94"/>
        <v>45776</v>
      </c>
      <c r="F465">
        <f t="shared" si="95"/>
        <v>30</v>
      </c>
      <c r="G465">
        <f t="shared" si="96"/>
        <v>365</v>
      </c>
      <c r="I465" t="s">
        <v>102</v>
      </c>
      <c r="J465" s="12">
        <f t="shared" si="97"/>
        <v>620.54794520547944</v>
      </c>
    </row>
    <row r="466" spans="1:10" x14ac:dyDescent="0.35">
      <c r="C466" s="2">
        <f>D465</f>
        <v>45441</v>
      </c>
      <c r="D466" s="2">
        <f>EDATE(C466,1)</f>
        <v>45472</v>
      </c>
      <c r="E466" s="2">
        <f t="shared" si="94"/>
        <v>45806</v>
      </c>
      <c r="F466">
        <f t="shared" si="95"/>
        <v>31</v>
      </c>
      <c r="G466">
        <f t="shared" si="96"/>
        <v>365</v>
      </c>
      <c r="I466" t="s">
        <v>103</v>
      </c>
      <c r="J466" s="12">
        <f t="shared" si="97"/>
        <v>641.23287671232879</v>
      </c>
    </row>
    <row r="467" spans="1:10" x14ac:dyDescent="0.35">
      <c r="C467" s="2">
        <f>D466</f>
        <v>45472</v>
      </c>
      <c r="D467" s="2">
        <v>45502</v>
      </c>
      <c r="E467" s="2">
        <f t="shared" si="94"/>
        <v>45837</v>
      </c>
      <c r="F467">
        <f t="shared" si="95"/>
        <v>30</v>
      </c>
      <c r="G467">
        <f t="shared" si="96"/>
        <v>365</v>
      </c>
      <c r="I467" t="s">
        <v>104</v>
      </c>
      <c r="J467" s="12">
        <f t="shared" si="97"/>
        <v>620.54794520547944</v>
      </c>
    </row>
    <row r="468" spans="1:10" x14ac:dyDescent="0.35">
      <c r="C468" s="2">
        <f t="shared" ref="C468:C474" si="98">D467</f>
        <v>45502</v>
      </c>
      <c r="D468" s="2">
        <f>EDATE(C468,1)</f>
        <v>45533</v>
      </c>
      <c r="E468" s="2">
        <f t="shared" si="94"/>
        <v>45867</v>
      </c>
      <c r="F468">
        <f t="shared" si="95"/>
        <v>31</v>
      </c>
      <c r="G468">
        <f t="shared" si="96"/>
        <v>365</v>
      </c>
      <c r="I468" t="s">
        <v>105</v>
      </c>
      <c r="J468" s="12">
        <f t="shared" si="97"/>
        <v>641.23287671232879</v>
      </c>
    </row>
    <row r="469" spans="1:10" x14ac:dyDescent="0.35">
      <c r="C469" s="2">
        <f t="shared" si="98"/>
        <v>45533</v>
      </c>
      <c r="D469" s="2">
        <f>EDATE(C469,1)</f>
        <v>45564</v>
      </c>
      <c r="E469" s="2">
        <f t="shared" si="94"/>
        <v>45898</v>
      </c>
      <c r="F469">
        <f t="shared" si="95"/>
        <v>31</v>
      </c>
      <c r="G469">
        <f t="shared" si="96"/>
        <v>365</v>
      </c>
      <c r="I469" t="s">
        <v>106</v>
      </c>
      <c r="J469" s="12">
        <f t="shared" si="97"/>
        <v>641.23287671232879</v>
      </c>
    </row>
    <row r="470" spans="1:10" x14ac:dyDescent="0.35">
      <c r="C470" s="2">
        <f t="shared" si="98"/>
        <v>45564</v>
      </c>
      <c r="D470" s="2">
        <v>45594</v>
      </c>
      <c r="E470" s="2">
        <f t="shared" si="94"/>
        <v>45929</v>
      </c>
      <c r="F470">
        <f t="shared" si="95"/>
        <v>30</v>
      </c>
      <c r="G470">
        <f t="shared" si="96"/>
        <v>365</v>
      </c>
      <c r="I470" t="s">
        <v>107</v>
      </c>
      <c r="J470" s="12">
        <f t="shared" si="97"/>
        <v>620.54794520547944</v>
      </c>
    </row>
    <row r="471" spans="1:10" x14ac:dyDescent="0.35">
      <c r="C471" s="2">
        <f t="shared" si="98"/>
        <v>45594</v>
      </c>
      <c r="D471" s="2">
        <f>EDATE(C471,1)</f>
        <v>45625</v>
      </c>
      <c r="E471" s="2">
        <f t="shared" si="94"/>
        <v>45959</v>
      </c>
      <c r="F471">
        <f t="shared" si="95"/>
        <v>31</v>
      </c>
      <c r="G471">
        <f t="shared" si="96"/>
        <v>365</v>
      </c>
      <c r="I471" t="s">
        <v>134</v>
      </c>
      <c r="J471" s="12">
        <f t="shared" si="97"/>
        <v>641.23287671232879</v>
      </c>
    </row>
    <row r="472" spans="1:10" x14ac:dyDescent="0.35">
      <c r="C472" s="2">
        <f t="shared" si="98"/>
        <v>45625</v>
      </c>
      <c r="D472" s="2">
        <v>45655</v>
      </c>
      <c r="E472" s="2">
        <f t="shared" si="94"/>
        <v>45990</v>
      </c>
      <c r="F472">
        <f t="shared" si="95"/>
        <v>30</v>
      </c>
      <c r="G472">
        <f t="shared" si="96"/>
        <v>365</v>
      </c>
      <c r="I472" t="s">
        <v>135</v>
      </c>
      <c r="J472" s="12">
        <f t="shared" si="97"/>
        <v>620.54794520547944</v>
      </c>
    </row>
    <row r="473" spans="1:10" x14ac:dyDescent="0.35">
      <c r="C473" s="2">
        <f t="shared" si="98"/>
        <v>45655</v>
      </c>
      <c r="D473" s="2">
        <f>EDATE(C473,1)</f>
        <v>45686</v>
      </c>
      <c r="E473" s="2">
        <f t="shared" si="94"/>
        <v>46020</v>
      </c>
      <c r="F473">
        <f t="shared" si="95"/>
        <v>31</v>
      </c>
      <c r="G473">
        <f t="shared" si="96"/>
        <v>365</v>
      </c>
      <c r="I473" t="s">
        <v>136</v>
      </c>
      <c r="J473" s="12">
        <f t="shared" si="97"/>
        <v>641.23287671232879</v>
      </c>
    </row>
    <row r="474" spans="1:10" x14ac:dyDescent="0.35">
      <c r="C474" s="2">
        <f t="shared" si="98"/>
        <v>45686</v>
      </c>
      <c r="D474" s="2">
        <f>EDATE(C474,1)</f>
        <v>45716</v>
      </c>
      <c r="E474" s="2">
        <f t="shared" si="94"/>
        <v>46051</v>
      </c>
      <c r="F474">
        <f t="shared" si="95"/>
        <v>30</v>
      </c>
      <c r="G474">
        <f t="shared" si="96"/>
        <v>365</v>
      </c>
      <c r="I474" t="s">
        <v>137</v>
      </c>
      <c r="J474" s="12">
        <f t="shared" si="97"/>
        <v>620.54794520547944</v>
      </c>
    </row>
    <row r="476" spans="1:10" x14ac:dyDescent="0.35">
      <c r="D476" t="s">
        <v>185</v>
      </c>
      <c r="E476" s="22">
        <f>J474</f>
        <v>620.54794520547944</v>
      </c>
    </row>
    <row r="479" spans="1:10" x14ac:dyDescent="0.35">
      <c r="A479">
        <v>43</v>
      </c>
      <c r="B479" t="s">
        <v>23</v>
      </c>
      <c r="C479" t="s">
        <v>82</v>
      </c>
      <c r="D479" s="1">
        <v>45260</v>
      </c>
    </row>
    <row r="480" spans="1:10" x14ac:dyDescent="0.35">
      <c r="C480" t="s">
        <v>83</v>
      </c>
      <c r="D480" s="2">
        <f>EDATE(D479,9)</f>
        <v>45534</v>
      </c>
    </row>
    <row r="481" spans="3:10" x14ac:dyDescent="0.35">
      <c r="C481" t="s">
        <v>89</v>
      </c>
      <c r="D481" t="s">
        <v>87</v>
      </c>
    </row>
    <row r="482" spans="3:10" x14ac:dyDescent="0.35">
      <c r="C482" t="s">
        <v>90</v>
      </c>
      <c r="D482" t="s">
        <v>86</v>
      </c>
    </row>
    <row r="483" spans="3:10" x14ac:dyDescent="0.35">
      <c r="C483" t="s">
        <v>133</v>
      </c>
      <c r="D483" t="s">
        <v>127</v>
      </c>
    </row>
    <row r="484" spans="3:10" x14ac:dyDescent="0.35">
      <c r="C484" t="s">
        <v>91</v>
      </c>
      <c r="D484" s="7">
        <v>300000</v>
      </c>
    </row>
    <row r="485" spans="3:10" x14ac:dyDescent="0.35">
      <c r="C485" t="s">
        <v>92</v>
      </c>
      <c r="D485" s="3">
        <v>8.6999999999999994E-2</v>
      </c>
    </row>
    <row r="486" spans="3:10" x14ac:dyDescent="0.35">
      <c r="C486" t="s">
        <v>93</v>
      </c>
      <c r="D486">
        <f>D480-D479</f>
        <v>274</v>
      </c>
    </row>
    <row r="487" spans="3:10" x14ac:dyDescent="0.35">
      <c r="C487" t="s">
        <v>94</v>
      </c>
      <c r="D487">
        <v>1</v>
      </c>
    </row>
    <row r="489" spans="3:10" x14ac:dyDescent="0.35">
      <c r="C489" t="s">
        <v>95</v>
      </c>
      <c r="D489" t="s">
        <v>96</v>
      </c>
      <c r="E489" t="s">
        <v>97</v>
      </c>
      <c r="F489" t="s">
        <v>98</v>
      </c>
      <c r="G489" t="s">
        <v>99</v>
      </c>
    </row>
    <row r="490" spans="3:10" x14ac:dyDescent="0.35">
      <c r="C490" s="1">
        <v>45260</v>
      </c>
      <c r="D490" s="2">
        <v>45291</v>
      </c>
      <c r="E490" s="2">
        <f>EDATE(C490,12)</f>
        <v>45626</v>
      </c>
      <c r="F490">
        <f>D490-C490</f>
        <v>31</v>
      </c>
      <c r="G490">
        <f>E490-C490</f>
        <v>366</v>
      </c>
      <c r="I490" t="s">
        <v>100</v>
      </c>
      <c r="J490" s="12">
        <f>$D$484*$D$485*F490/G490</f>
        <v>2210.655737704918</v>
      </c>
    </row>
    <row r="491" spans="3:10" x14ac:dyDescent="0.35">
      <c r="C491" s="2">
        <f>D490</f>
        <v>45291</v>
      </c>
      <c r="D491" s="2">
        <f>EDATE(C491,1)</f>
        <v>45322</v>
      </c>
      <c r="E491" s="2">
        <f t="shared" ref="E491:E498" si="99">EDATE(C491,12)</f>
        <v>45657</v>
      </c>
      <c r="F491">
        <f t="shared" ref="F491:F498" si="100">D491-C491</f>
        <v>31</v>
      </c>
      <c r="G491">
        <f t="shared" ref="G491:G498" si="101">E491-C491</f>
        <v>366</v>
      </c>
      <c r="I491" t="s">
        <v>101</v>
      </c>
      <c r="J491" s="12">
        <f t="shared" ref="J491:J498" si="102">$D$484*$D$485*F491/G491</f>
        <v>2210.655737704918</v>
      </c>
    </row>
    <row r="492" spans="3:10" x14ac:dyDescent="0.35">
      <c r="C492" s="2">
        <f>D491</f>
        <v>45322</v>
      </c>
      <c r="D492" s="2">
        <f>EDATE(C492,1)</f>
        <v>45351</v>
      </c>
      <c r="E492" s="2">
        <f t="shared" si="99"/>
        <v>45688</v>
      </c>
      <c r="F492">
        <f t="shared" si="100"/>
        <v>29</v>
      </c>
      <c r="G492">
        <f t="shared" si="101"/>
        <v>366</v>
      </c>
      <c r="I492" t="s">
        <v>102</v>
      </c>
      <c r="J492" s="12">
        <f t="shared" si="102"/>
        <v>2068.032786885246</v>
      </c>
    </row>
    <row r="493" spans="3:10" x14ac:dyDescent="0.35">
      <c r="C493" s="2">
        <f>D492</f>
        <v>45351</v>
      </c>
      <c r="D493" s="2">
        <v>45382</v>
      </c>
      <c r="E493" s="2">
        <f t="shared" si="99"/>
        <v>45716</v>
      </c>
      <c r="F493">
        <f t="shared" si="100"/>
        <v>31</v>
      </c>
      <c r="G493">
        <f t="shared" si="101"/>
        <v>365</v>
      </c>
      <c r="I493" t="s">
        <v>103</v>
      </c>
      <c r="J493" s="12">
        <f t="shared" si="102"/>
        <v>2216.7123287671234</v>
      </c>
    </row>
    <row r="494" spans="3:10" x14ac:dyDescent="0.35">
      <c r="C494" s="2">
        <f>D493</f>
        <v>45382</v>
      </c>
      <c r="D494" s="2">
        <f>EDATE(C494,1)</f>
        <v>45412</v>
      </c>
      <c r="E494" s="2">
        <f t="shared" si="99"/>
        <v>45747</v>
      </c>
      <c r="F494">
        <f t="shared" si="100"/>
        <v>30</v>
      </c>
      <c r="G494">
        <f t="shared" si="101"/>
        <v>365</v>
      </c>
      <c r="I494" t="s">
        <v>104</v>
      </c>
      <c r="J494" s="12">
        <f t="shared" si="102"/>
        <v>2145.205479452055</v>
      </c>
    </row>
    <row r="495" spans="3:10" x14ac:dyDescent="0.35">
      <c r="C495" s="2">
        <f t="shared" ref="C495:C498" si="103">D494</f>
        <v>45412</v>
      </c>
      <c r="D495" s="2">
        <v>45443</v>
      </c>
      <c r="E495" s="2">
        <f t="shared" si="99"/>
        <v>45777</v>
      </c>
      <c r="F495">
        <f t="shared" si="100"/>
        <v>31</v>
      </c>
      <c r="G495">
        <f t="shared" si="101"/>
        <v>365</v>
      </c>
      <c r="I495" t="s">
        <v>105</v>
      </c>
      <c r="J495" s="12">
        <f t="shared" si="102"/>
        <v>2216.7123287671234</v>
      </c>
    </row>
    <row r="496" spans="3:10" x14ac:dyDescent="0.35">
      <c r="C496" s="2">
        <f t="shared" si="103"/>
        <v>45443</v>
      </c>
      <c r="D496" s="2">
        <f t="shared" ref="D496" si="104">EDATE(C496,1)</f>
        <v>45473</v>
      </c>
      <c r="E496" s="2">
        <f t="shared" si="99"/>
        <v>45808</v>
      </c>
      <c r="F496">
        <f t="shared" si="100"/>
        <v>30</v>
      </c>
      <c r="G496">
        <f t="shared" si="101"/>
        <v>365</v>
      </c>
      <c r="I496" t="s">
        <v>106</v>
      </c>
      <c r="J496" s="12">
        <f t="shared" si="102"/>
        <v>2145.205479452055</v>
      </c>
    </row>
    <row r="497" spans="3:10" x14ac:dyDescent="0.35">
      <c r="C497" s="2">
        <f t="shared" si="103"/>
        <v>45473</v>
      </c>
      <c r="D497" s="2">
        <v>45504</v>
      </c>
      <c r="E497" s="2">
        <f t="shared" si="99"/>
        <v>45838</v>
      </c>
      <c r="F497">
        <f t="shared" si="100"/>
        <v>31</v>
      </c>
      <c r="G497">
        <f t="shared" si="101"/>
        <v>365</v>
      </c>
      <c r="I497" t="s">
        <v>107</v>
      </c>
      <c r="J497" s="12">
        <f t="shared" si="102"/>
        <v>2216.7123287671234</v>
      </c>
    </row>
    <row r="498" spans="3:10" x14ac:dyDescent="0.35">
      <c r="C498" s="2">
        <f t="shared" si="103"/>
        <v>45504</v>
      </c>
      <c r="D498" s="2">
        <v>45534</v>
      </c>
      <c r="E498" s="2">
        <f t="shared" si="99"/>
        <v>45869</v>
      </c>
      <c r="F498">
        <f t="shared" si="100"/>
        <v>30</v>
      </c>
      <c r="G498">
        <f t="shared" si="101"/>
        <v>365</v>
      </c>
      <c r="I498" t="s">
        <v>134</v>
      </c>
      <c r="J498" s="12">
        <f t="shared" si="102"/>
        <v>2145.205479452055</v>
      </c>
    </row>
    <row r="499" spans="3:10" x14ac:dyDescent="0.35">
      <c r="C499" s="2"/>
      <c r="D499" s="2"/>
      <c r="E499" s="2"/>
    </row>
    <row r="500" spans="3:10" x14ac:dyDescent="0.35">
      <c r="C500" s="2"/>
      <c r="D500" s="2" t="s">
        <v>186</v>
      </c>
      <c r="E500" s="19" t="s">
        <v>100</v>
      </c>
      <c r="F500" s="22">
        <f>J490</f>
        <v>2210.655737704918</v>
      </c>
    </row>
    <row r="501" spans="3:10" x14ac:dyDescent="0.35">
      <c r="C501" s="2"/>
      <c r="D501" s="2"/>
      <c r="E501" s="19" t="s">
        <v>101</v>
      </c>
      <c r="F501" s="22">
        <f t="shared" ref="F501:F507" si="105">J491</f>
        <v>2210.655737704918</v>
      </c>
    </row>
    <row r="502" spans="3:10" x14ac:dyDescent="0.35">
      <c r="E502" s="19" t="s">
        <v>102</v>
      </c>
      <c r="F502" s="22">
        <f t="shared" si="105"/>
        <v>2068.032786885246</v>
      </c>
    </row>
    <row r="503" spans="3:10" x14ac:dyDescent="0.35">
      <c r="E503" s="19" t="s">
        <v>103</v>
      </c>
      <c r="F503" s="22">
        <f t="shared" si="105"/>
        <v>2216.7123287671234</v>
      </c>
    </row>
    <row r="504" spans="3:10" x14ac:dyDescent="0.35">
      <c r="E504" s="19" t="s">
        <v>104</v>
      </c>
      <c r="F504" s="22">
        <f t="shared" si="105"/>
        <v>2145.205479452055</v>
      </c>
    </row>
    <row r="505" spans="3:10" x14ac:dyDescent="0.35">
      <c r="E505" s="19" t="s">
        <v>105</v>
      </c>
      <c r="F505" s="22">
        <f t="shared" si="105"/>
        <v>2216.7123287671234</v>
      </c>
    </row>
    <row r="506" spans="3:10" x14ac:dyDescent="0.35">
      <c r="E506" s="19" t="s">
        <v>106</v>
      </c>
      <c r="F506" s="22">
        <f t="shared" si="105"/>
        <v>2145.205479452055</v>
      </c>
    </row>
    <row r="507" spans="3:10" x14ac:dyDescent="0.35">
      <c r="E507" s="19" t="s">
        <v>107</v>
      </c>
      <c r="F507" s="22">
        <f t="shared" si="105"/>
        <v>2216.7123287671234</v>
      </c>
    </row>
    <row r="508" spans="3:10" x14ac:dyDescent="0.35">
      <c r="E508" s="19" t="s">
        <v>134</v>
      </c>
      <c r="F508" s="22">
        <f>J498+D484</f>
        <v>302145.20547945204</v>
      </c>
    </row>
    <row r="509" spans="3:10" x14ac:dyDescent="0.35">
      <c r="E509" s="19"/>
      <c r="F509" s="20"/>
    </row>
    <row r="513" spans="1:10" x14ac:dyDescent="0.35">
      <c r="A513">
        <v>44</v>
      </c>
      <c r="B513" t="s">
        <v>24</v>
      </c>
      <c r="C513" t="s">
        <v>82</v>
      </c>
      <c r="D513" s="1">
        <v>45813</v>
      </c>
    </row>
    <row r="514" spans="1:10" x14ac:dyDescent="0.35">
      <c r="C514" t="s">
        <v>83</v>
      </c>
      <c r="D514" s="2">
        <f>EDATE(D513,18)</f>
        <v>46361</v>
      </c>
    </row>
    <row r="515" spans="1:10" x14ac:dyDescent="0.35">
      <c r="C515" t="s">
        <v>89</v>
      </c>
      <c r="D515" t="s">
        <v>85</v>
      </c>
    </row>
    <row r="516" spans="1:10" x14ac:dyDescent="0.35">
      <c r="C516" t="s">
        <v>90</v>
      </c>
      <c r="D516" t="s">
        <v>84</v>
      </c>
    </row>
    <row r="517" spans="1:10" x14ac:dyDescent="0.35">
      <c r="C517" t="s">
        <v>133</v>
      </c>
      <c r="D517" t="s">
        <v>127</v>
      </c>
    </row>
    <row r="518" spans="1:10" x14ac:dyDescent="0.35">
      <c r="C518" t="s">
        <v>91</v>
      </c>
      <c r="D518" s="7">
        <v>150000</v>
      </c>
    </row>
    <row r="519" spans="1:10" x14ac:dyDescent="0.35">
      <c r="C519" t="s">
        <v>92</v>
      </c>
      <c r="D519" s="3">
        <v>6.7500000000000004E-2</v>
      </c>
    </row>
    <row r="520" spans="1:10" x14ac:dyDescent="0.35">
      <c r="C520" t="s">
        <v>93</v>
      </c>
      <c r="D520">
        <f>D514-D513</f>
        <v>548</v>
      </c>
    </row>
    <row r="521" spans="1:10" x14ac:dyDescent="0.35">
      <c r="C521" t="s">
        <v>94</v>
      </c>
      <c r="D521">
        <v>1</v>
      </c>
    </row>
    <row r="523" spans="1:10" x14ac:dyDescent="0.35">
      <c r="C523" t="s">
        <v>95</v>
      </c>
      <c r="D523" t="s">
        <v>96</v>
      </c>
      <c r="E523" t="s">
        <v>97</v>
      </c>
      <c r="F523" t="s">
        <v>98</v>
      </c>
      <c r="G523" t="s">
        <v>99</v>
      </c>
    </row>
    <row r="524" spans="1:10" x14ac:dyDescent="0.35">
      <c r="C524" s="1">
        <v>45813</v>
      </c>
      <c r="D524" s="2">
        <f>EDATE(C524,1)</f>
        <v>45843</v>
      </c>
      <c r="E524" s="2">
        <f>EDATE(C524,12)</f>
        <v>46178</v>
      </c>
      <c r="F524">
        <f>D524-C524</f>
        <v>30</v>
      </c>
      <c r="G524">
        <f>E524-C524</f>
        <v>365</v>
      </c>
      <c r="I524" t="s">
        <v>100</v>
      </c>
      <c r="J524">
        <f>$D$518*$D$519*F524/G524</f>
        <v>832.19178082191786</v>
      </c>
    </row>
    <row r="525" spans="1:10" x14ac:dyDescent="0.35">
      <c r="C525" s="2">
        <f>D524</f>
        <v>45843</v>
      </c>
      <c r="D525" s="2">
        <f>EDATE(C525,1)</f>
        <v>45874</v>
      </c>
      <c r="E525" s="2">
        <f t="shared" ref="E525:E529" si="106">EDATE(C525,12)</f>
        <v>46208</v>
      </c>
      <c r="F525">
        <f t="shared" ref="F525:F529" si="107">D525-C525</f>
        <v>31</v>
      </c>
      <c r="G525">
        <f t="shared" ref="G525:G529" si="108">E525-C525</f>
        <v>365</v>
      </c>
      <c r="I525" t="s">
        <v>101</v>
      </c>
      <c r="J525">
        <f t="shared" ref="J525:J529" si="109">$D$518*$D$519*F525/G525</f>
        <v>859.93150684931504</v>
      </c>
    </row>
    <row r="526" spans="1:10" x14ac:dyDescent="0.35">
      <c r="C526" s="2">
        <f>D525</f>
        <v>45874</v>
      </c>
      <c r="D526" s="2">
        <f>EDATE(C526,1)</f>
        <v>45905</v>
      </c>
      <c r="E526" s="2">
        <f t="shared" si="106"/>
        <v>46239</v>
      </c>
      <c r="F526">
        <f t="shared" si="107"/>
        <v>31</v>
      </c>
      <c r="G526">
        <f t="shared" si="108"/>
        <v>365</v>
      </c>
      <c r="I526" t="s">
        <v>102</v>
      </c>
      <c r="J526">
        <f t="shared" si="109"/>
        <v>859.93150684931504</v>
      </c>
    </row>
    <row r="527" spans="1:10" x14ac:dyDescent="0.35">
      <c r="C527" s="2">
        <f>D526</f>
        <v>45905</v>
      </c>
      <c r="D527" s="2">
        <f>EDATE(C527,1)</f>
        <v>45935</v>
      </c>
      <c r="E527" s="2">
        <f t="shared" si="106"/>
        <v>46270</v>
      </c>
      <c r="F527">
        <f t="shared" si="107"/>
        <v>30</v>
      </c>
      <c r="G527">
        <f t="shared" si="108"/>
        <v>365</v>
      </c>
      <c r="I527" t="s">
        <v>103</v>
      </c>
      <c r="J527">
        <f t="shared" si="109"/>
        <v>832.19178082191786</v>
      </c>
    </row>
    <row r="528" spans="1:10" x14ac:dyDescent="0.35">
      <c r="C528" s="2">
        <f>D527</f>
        <v>45935</v>
      </c>
      <c r="D528" s="2">
        <f>EDATE(C528,1)</f>
        <v>45966</v>
      </c>
      <c r="E528" s="2">
        <f t="shared" si="106"/>
        <v>46300</v>
      </c>
      <c r="F528">
        <f t="shared" si="107"/>
        <v>31</v>
      </c>
      <c r="G528">
        <f t="shared" si="108"/>
        <v>365</v>
      </c>
      <c r="I528" t="s">
        <v>104</v>
      </c>
      <c r="J528">
        <f t="shared" si="109"/>
        <v>859.93150684931504</v>
      </c>
    </row>
    <row r="529" spans="1:10" x14ac:dyDescent="0.35">
      <c r="C529" s="2">
        <f t="shared" ref="C529" si="110">D528</f>
        <v>45966</v>
      </c>
      <c r="D529" s="2">
        <f t="shared" ref="D529" si="111">EDATE(C529,1)</f>
        <v>45996</v>
      </c>
      <c r="E529" s="2">
        <f t="shared" si="106"/>
        <v>46331</v>
      </c>
      <c r="F529">
        <f t="shared" si="107"/>
        <v>30</v>
      </c>
      <c r="G529">
        <f t="shared" si="108"/>
        <v>365</v>
      </c>
      <c r="I529" t="s">
        <v>105</v>
      </c>
      <c r="J529">
        <f t="shared" si="109"/>
        <v>832.19178082191786</v>
      </c>
    </row>
    <row r="530" spans="1:10" x14ac:dyDescent="0.35">
      <c r="C530" s="2"/>
      <c r="D530" s="2"/>
      <c r="E530" s="2"/>
    </row>
    <row r="531" spans="1:10" x14ac:dyDescent="0.35">
      <c r="C531" s="2"/>
      <c r="D531" s="2" t="s">
        <v>187</v>
      </c>
      <c r="E531" s="2"/>
      <c r="F531" s="30">
        <f>J529</f>
        <v>832.19178082191786</v>
      </c>
    </row>
    <row r="532" spans="1:10" x14ac:dyDescent="0.35">
      <c r="C532" s="2"/>
      <c r="D532" s="2"/>
      <c r="E532" s="2"/>
    </row>
    <row r="533" spans="1:10" x14ac:dyDescent="0.35">
      <c r="C533" s="2"/>
      <c r="D533" s="2"/>
      <c r="E533" s="2"/>
    </row>
    <row r="534" spans="1:10" x14ac:dyDescent="0.35">
      <c r="A534">
        <v>45</v>
      </c>
      <c r="B534" t="s">
        <v>25</v>
      </c>
      <c r="C534" t="s">
        <v>82</v>
      </c>
      <c r="D534" s="1">
        <v>45884</v>
      </c>
    </row>
    <row r="535" spans="1:10" x14ac:dyDescent="0.35">
      <c r="C535" t="s">
        <v>83</v>
      </c>
      <c r="D535" s="2">
        <f>EDATE(D534,6)</f>
        <v>46068</v>
      </c>
    </row>
    <row r="536" spans="1:10" x14ac:dyDescent="0.35">
      <c r="C536" t="s">
        <v>89</v>
      </c>
      <c r="D536" t="s">
        <v>85</v>
      </c>
    </row>
    <row r="537" spans="1:10" x14ac:dyDescent="0.35">
      <c r="C537" t="s">
        <v>90</v>
      </c>
      <c r="D537" t="s">
        <v>84</v>
      </c>
    </row>
    <row r="538" spans="1:10" x14ac:dyDescent="0.35">
      <c r="C538" t="s">
        <v>133</v>
      </c>
      <c r="D538" t="s">
        <v>127</v>
      </c>
    </row>
    <row r="539" spans="1:10" x14ac:dyDescent="0.35">
      <c r="C539" t="s">
        <v>91</v>
      </c>
      <c r="D539" s="7">
        <v>50000</v>
      </c>
    </row>
    <row r="540" spans="1:10" x14ac:dyDescent="0.35">
      <c r="C540" t="s">
        <v>92</v>
      </c>
      <c r="D540" s="3">
        <v>5.6500000000000002E-2</v>
      </c>
    </row>
    <row r="541" spans="1:10" x14ac:dyDescent="0.35">
      <c r="C541" t="s">
        <v>93</v>
      </c>
      <c r="D541">
        <f>D535-D534</f>
        <v>184</v>
      </c>
    </row>
    <row r="542" spans="1:10" x14ac:dyDescent="0.35">
      <c r="C542" t="s">
        <v>94</v>
      </c>
      <c r="D542">
        <v>0.5</v>
      </c>
    </row>
    <row r="544" spans="1:10" x14ac:dyDescent="0.35">
      <c r="C544" t="s">
        <v>95</v>
      </c>
      <c r="D544" t="s">
        <v>96</v>
      </c>
      <c r="E544" t="s">
        <v>97</v>
      </c>
      <c r="F544" t="s">
        <v>98</v>
      </c>
      <c r="G544" t="s">
        <v>99</v>
      </c>
    </row>
    <row r="545" spans="1:10" x14ac:dyDescent="0.35">
      <c r="C545" s="1">
        <v>45884</v>
      </c>
      <c r="D545" s="2">
        <f>EDATE(C545,1)</f>
        <v>45915</v>
      </c>
      <c r="E545" s="2">
        <f>EDATE(C545,12)</f>
        <v>46249</v>
      </c>
      <c r="F545">
        <f>D545-C545</f>
        <v>31</v>
      </c>
      <c r="G545">
        <f>E545-C545</f>
        <v>365</v>
      </c>
      <c r="I545" t="s">
        <v>100</v>
      </c>
      <c r="J545">
        <f>$D$539*$D$540*F545/G545</f>
        <v>239.93150684931507</v>
      </c>
    </row>
    <row r="546" spans="1:10" x14ac:dyDescent="0.35">
      <c r="C546" s="2">
        <f>D545</f>
        <v>45915</v>
      </c>
      <c r="D546" s="2">
        <f>EDATE(C546,1)</f>
        <v>45945</v>
      </c>
      <c r="E546" s="2">
        <f t="shared" ref="E546:E550" si="112">EDATE(C546,12)</f>
        <v>46280</v>
      </c>
      <c r="F546">
        <f t="shared" ref="F546:F550" si="113">D546-C546</f>
        <v>30</v>
      </c>
      <c r="G546">
        <f t="shared" ref="G546:G550" si="114">E546-C546</f>
        <v>365</v>
      </c>
      <c r="I546" t="s">
        <v>101</v>
      </c>
      <c r="J546">
        <f t="shared" ref="J546:J550" si="115">$D$539*$D$540*F546/G546</f>
        <v>232.1917808219178</v>
      </c>
    </row>
    <row r="547" spans="1:10" x14ac:dyDescent="0.35">
      <c r="C547" s="2">
        <f>D546</f>
        <v>45945</v>
      </c>
      <c r="D547" s="2">
        <f>EDATE(C547,1)</f>
        <v>45976</v>
      </c>
      <c r="E547" s="2">
        <f t="shared" si="112"/>
        <v>46310</v>
      </c>
      <c r="F547">
        <f t="shared" si="113"/>
        <v>31</v>
      </c>
      <c r="G547">
        <f t="shared" si="114"/>
        <v>365</v>
      </c>
      <c r="I547" t="s">
        <v>102</v>
      </c>
      <c r="J547">
        <f t="shared" si="115"/>
        <v>239.93150684931507</v>
      </c>
    </row>
    <row r="548" spans="1:10" x14ac:dyDescent="0.35">
      <c r="C548" s="2">
        <f>D547</f>
        <v>45976</v>
      </c>
      <c r="D548" s="2">
        <f>EDATE(C548,1)</f>
        <v>46006</v>
      </c>
      <c r="E548" s="2">
        <f t="shared" si="112"/>
        <v>46341</v>
      </c>
      <c r="F548">
        <f t="shared" si="113"/>
        <v>30</v>
      </c>
      <c r="G548">
        <f t="shared" si="114"/>
        <v>365</v>
      </c>
      <c r="I548" t="s">
        <v>103</v>
      </c>
      <c r="J548">
        <f t="shared" si="115"/>
        <v>232.1917808219178</v>
      </c>
    </row>
    <row r="549" spans="1:10" x14ac:dyDescent="0.35">
      <c r="C549" s="2">
        <f>D548</f>
        <v>46006</v>
      </c>
      <c r="D549" s="2">
        <f>EDATE(C549,1)</f>
        <v>46037</v>
      </c>
      <c r="E549" s="2">
        <f t="shared" si="112"/>
        <v>46371</v>
      </c>
      <c r="F549">
        <f t="shared" si="113"/>
        <v>31</v>
      </c>
      <c r="G549">
        <f t="shared" si="114"/>
        <v>365</v>
      </c>
      <c r="I549" t="s">
        <v>104</v>
      </c>
      <c r="J549">
        <f t="shared" si="115"/>
        <v>239.93150684931507</v>
      </c>
    </row>
    <row r="550" spans="1:10" x14ac:dyDescent="0.35">
      <c r="C550" s="2">
        <f t="shared" ref="C550" si="116">D549</f>
        <v>46037</v>
      </c>
      <c r="D550" s="2">
        <f t="shared" ref="D550" si="117">EDATE(C550,1)</f>
        <v>46068</v>
      </c>
      <c r="E550" s="2">
        <f t="shared" si="112"/>
        <v>46402</v>
      </c>
      <c r="F550">
        <f t="shared" si="113"/>
        <v>31</v>
      </c>
      <c r="G550">
        <f t="shared" si="114"/>
        <v>365</v>
      </c>
      <c r="I550" t="s">
        <v>105</v>
      </c>
      <c r="J550">
        <f t="shared" si="115"/>
        <v>239.93150684931507</v>
      </c>
    </row>
    <row r="552" spans="1:10" x14ac:dyDescent="0.35">
      <c r="D552" t="s">
        <v>188</v>
      </c>
      <c r="F552" s="19" t="s">
        <v>173</v>
      </c>
      <c r="G552" s="22">
        <f>J545</f>
        <v>239.93150684931507</v>
      </c>
    </row>
    <row r="553" spans="1:10" x14ac:dyDescent="0.35">
      <c r="F553" s="19" t="s">
        <v>174</v>
      </c>
      <c r="G553" s="22">
        <f t="shared" ref="G553:G556" si="118">J546</f>
        <v>232.1917808219178</v>
      </c>
    </row>
    <row r="554" spans="1:10" x14ac:dyDescent="0.35">
      <c r="F554" s="19" t="s">
        <v>175</v>
      </c>
      <c r="G554" s="22">
        <f>J547</f>
        <v>239.93150684931507</v>
      </c>
    </row>
    <row r="555" spans="1:10" x14ac:dyDescent="0.35">
      <c r="F555" s="19" t="s">
        <v>176</v>
      </c>
      <c r="G555" s="22">
        <f t="shared" si="118"/>
        <v>232.1917808219178</v>
      </c>
    </row>
    <row r="556" spans="1:10" x14ac:dyDescent="0.35">
      <c r="F556" s="19" t="s">
        <v>177</v>
      </c>
      <c r="G556" s="22">
        <f t="shared" si="118"/>
        <v>239.93150684931507</v>
      </c>
    </row>
    <row r="557" spans="1:10" x14ac:dyDescent="0.35">
      <c r="F557" s="19" t="s">
        <v>178</v>
      </c>
      <c r="G557" s="22">
        <f>J550+D539</f>
        <v>50239.931506849316</v>
      </c>
    </row>
    <row r="558" spans="1:10" x14ac:dyDescent="0.35">
      <c r="G558" s="5">
        <f>SUM(G552:G557)</f>
        <v>51424.109589041094</v>
      </c>
    </row>
    <row r="560" spans="1:10" x14ac:dyDescent="0.35">
      <c r="A560">
        <v>46</v>
      </c>
      <c r="B560" t="s">
        <v>26</v>
      </c>
      <c r="C560" t="s">
        <v>82</v>
      </c>
      <c r="D560" s="1">
        <v>45658</v>
      </c>
    </row>
    <row r="561" spans="3:10" x14ac:dyDescent="0.35">
      <c r="C561" t="s">
        <v>83</v>
      </c>
      <c r="D561" s="2">
        <f>EDATE(D560,24)</f>
        <v>46388</v>
      </c>
    </row>
    <row r="562" spans="3:10" x14ac:dyDescent="0.35">
      <c r="C562" t="s">
        <v>89</v>
      </c>
      <c r="D562" t="s">
        <v>85</v>
      </c>
    </row>
    <row r="563" spans="3:10" x14ac:dyDescent="0.35">
      <c r="C563" t="s">
        <v>90</v>
      </c>
      <c r="D563" t="s">
        <v>86</v>
      </c>
    </row>
    <row r="564" spans="3:10" x14ac:dyDescent="0.35">
      <c r="C564" t="s">
        <v>133</v>
      </c>
      <c r="D564" t="s">
        <v>127</v>
      </c>
    </row>
    <row r="565" spans="3:10" x14ac:dyDescent="0.35">
      <c r="C565" t="s">
        <v>91</v>
      </c>
      <c r="D565" s="7">
        <v>35000000</v>
      </c>
    </row>
    <row r="566" spans="3:10" x14ac:dyDescent="0.35">
      <c r="C566" t="s">
        <v>92</v>
      </c>
      <c r="D566" s="3">
        <v>7.1999999999999995E-2</v>
      </c>
    </row>
    <row r="567" spans="3:10" x14ac:dyDescent="0.35">
      <c r="C567" t="s">
        <v>93</v>
      </c>
      <c r="D567">
        <f>D561-D560</f>
        <v>730</v>
      </c>
    </row>
    <row r="568" spans="3:10" x14ac:dyDescent="0.35">
      <c r="C568" t="s">
        <v>94</v>
      </c>
      <c r="D568">
        <v>2</v>
      </c>
    </row>
    <row r="570" spans="3:10" x14ac:dyDescent="0.35">
      <c r="C570" t="s">
        <v>95</v>
      </c>
      <c r="D570" t="s">
        <v>96</v>
      </c>
      <c r="E570" t="s">
        <v>97</v>
      </c>
      <c r="F570" t="s">
        <v>98</v>
      </c>
      <c r="G570" t="s">
        <v>99</v>
      </c>
    </row>
    <row r="571" spans="3:10" x14ac:dyDescent="0.35">
      <c r="C571" s="1">
        <v>45658</v>
      </c>
      <c r="D571" s="2">
        <f>EDATE(C571,1)</f>
        <v>45689</v>
      </c>
      <c r="E571" s="2">
        <f>EDATE(C571,12)</f>
        <v>46023</v>
      </c>
      <c r="F571">
        <f>D571-C571</f>
        <v>31</v>
      </c>
      <c r="G571">
        <f>E571-C571</f>
        <v>365</v>
      </c>
      <c r="I571" t="s">
        <v>100</v>
      </c>
      <c r="J571" s="4">
        <f>$D$565*$D$566*F571/G571</f>
        <v>214027.39726027398</v>
      </c>
    </row>
    <row r="572" spans="3:10" x14ac:dyDescent="0.35">
      <c r="C572" s="2">
        <f>D571</f>
        <v>45689</v>
      </c>
      <c r="D572" s="2">
        <f>EDATE(C572,1)</f>
        <v>45717</v>
      </c>
      <c r="E572" s="2">
        <f t="shared" ref="E572:E594" si="119">EDATE(C572,12)</f>
        <v>46054</v>
      </c>
      <c r="F572">
        <f t="shared" ref="F572:F594" si="120">D572-C572</f>
        <v>28</v>
      </c>
      <c r="G572">
        <f t="shared" ref="G572:G594" si="121">E572-C572</f>
        <v>365</v>
      </c>
      <c r="I572" t="s">
        <v>101</v>
      </c>
      <c r="J572" s="4">
        <f t="shared" ref="J572:J594" si="122">$D$565*$D$566*F572/G572</f>
        <v>193315.0684931507</v>
      </c>
    </row>
    <row r="573" spans="3:10" x14ac:dyDescent="0.35">
      <c r="C573" s="2">
        <f>D572</f>
        <v>45717</v>
      </c>
      <c r="D573" s="2">
        <f>EDATE(C573,1)</f>
        <v>45748</v>
      </c>
      <c r="E573" s="2">
        <f t="shared" si="119"/>
        <v>46082</v>
      </c>
      <c r="F573">
        <f t="shared" si="120"/>
        <v>31</v>
      </c>
      <c r="G573">
        <f t="shared" si="121"/>
        <v>365</v>
      </c>
      <c r="I573" t="s">
        <v>102</v>
      </c>
      <c r="J573" s="4">
        <f t="shared" si="122"/>
        <v>214027.39726027398</v>
      </c>
    </row>
    <row r="574" spans="3:10" x14ac:dyDescent="0.35">
      <c r="C574" s="2">
        <f>D573</f>
        <v>45748</v>
      </c>
      <c r="D574" s="2">
        <f>EDATE(C574,1)</f>
        <v>45778</v>
      </c>
      <c r="E574" s="2">
        <f t="shared" si="119"/>
        <v>46113</v>
      </c>
      <c r="F574">
        <f t="shared" si="120"/>
        <v>30</v>
      </c>
      <c r="G574">
        <f t="shared" si="121"/>
        <v>365</v>
      </c>
      <c r="I574" t="s">
        <v>103</v>
      </c>
      <c r="J574" s="4">
        <f t="shared" si="122"/>
        <v>207123.28767123289</v>
      </c>
    </row>
    <row r="575" spans="3:10" x14ac:dyDescent="0.35">
      <c r="C575" s="2">
        <f>D574</f>
        <v>45778</v>
      </c>
      <c r="D575" s="2">
        <f>EDATE(C575,1)</f>
        <v>45809</v>
      </c>
      <c r="E575" s="2">
        <f t="shared" si="119"/>
        <v>46143</v>
      </c>
      <c r="F575">
        <f t="shared" si="120"/>
        <v>31</v>
      </c>
      <c r="G575">
        <f t="shared" si="121"/>
        <v>365</v>
      </c>
      <c r="I575" t="s">
        <v>104</v>
      </c>
      <c r="J575" s="4">
        <f t="shared" si="122"/>
        <v>214027.39726027398</v>
      </c>
    </row>
    <row r="576" spans="3:10" x14ac:dyDescent="0.35">
      <c r="C576" s="2">
        <f t="shared" ref="C576:C594" si="123">D575</f>
        <v>45809</v>
      </c>
      <c r="D576" s="2">
        <f t="shared" ref="D576:D594" si="124">EDATE(C576,1)</f>
        <v>45839</v>
      </c>
      <c r="E576" s="2">
        <f t="shared" si="119"/>
        <v>46174</v>
      </c>
      <c r="F576">
        <f t="shared" si="120"/>
        <v>30</v>
      </c>
      <c r="G576">
        <f t="shared" si="121"/>
        <v>365</v>
      </c>
      <c r="I576" t="s">
        <v>105</v>
      </c>
      <c r="J576" s="4">
        <f t="shared" si="122"/>
        <v>207123.28767123289</v>
      </c>
    </row>
    <row r="577" spans="3:10" x14ac:dyDescent="0.35">
      <c r="C577" s="2">
        <f t="shared" si="123"/>
        <v>45839</v>
      </c>
      <c r="D577" s="2">
        <f t="shared" si="124"/>
        <v>45870</v>
      </c>
      <c r="E577" s="2">
        <f t="shared" si="119"/>
        <v>46204</v>
      </c>
      <c r="F577">
        <f t="shared" si="120"/>
        <v>31</v>
      </c>
      <c r="G577">
        <f t="shared" si="121"/>
        <v>365</v>
      </c>
      <c r="I577" t="s">
        <v>106</v>
      </c>
      <c r="J577" s="4">
        <f t="shared" si="122"/>
        <v>214027.39726027398</v>
      </c>
    </row>
    <row r="578" spans="3:10" x14ac:dyDescent="0.35">
      <c r="C578" s="2">
        <f t="shared" si="123"/>
        <v>45870</v>
      </c>
      <c r="D578" s="2">
        <f t="shared" si="124"/>
        <v>45901</v>
      </c>
      <c r="E578" s="2">
        <f t="shared" si="119"/>
        <v>46235</v>
      </c>
      <c r="F578">
        <f t="shared" si="120"/>
        <v>31</v>
      </c>
      <c r="G578">
        <f t="shared" si="121"/>
        <v>365</v>
      </c>
      <c r="I578" t="s">
        <v>107</v>
      </c>
      <c r="J578" s="4">
        <f t="shared" si="122"/>
        <v>214027.39726027398</v>
      </c>
    </row>
    <row r="579" spans="3:10" x14ac:dyDescent="0.35">
      <c r="C579" s="2">
        <f t="shared" si="123"/>
        <v>45901</v>
      </c>
      <c r="D579" s="2">
        <f t="shared" si="124"/>
        <v>45931</v>
      </c>
      <c r="E579" s="2">
        <f t="shared" si="119"/>
        <v>46266</v>
      </c>
      <c r="F579">
        <f t="shared" si="120"/>
        <v>30</v>
      </c>
      <c r="G579">
        <f t="shared" si="121"/>
        <v>365</v>
      </c>
      <c r="I579" t="s">
        <v>134</v>
      </c>
      <c r="J579" s="4">
        <f t="shared" si="122"/>
        <v>207123.28767123289</v>
      </c>
    </row>
    <row r="580" spans="3:10" x14ac:dyDescent="0.35">
      <c r="C580" s="2">
        <f t="shared" si="123"/>
        <v>45931</v>
      </c>
      <c r="D580" s="2">
        <f t="shared" si="124"/>
        <v>45962</v>
      </c>
      <c r="E580" s="2">
        <f t="shared" si="119"/>
        <v>46296</v>
      </c>
      <c r="F580">
        <f t="shared" si="120"/>
        <v>31</v>
      </c>
      <c r="G580">
        <f t="shared" si="121"/>
        <v>365</v>
      </c>
      <c r="I580" t="s">
        <v>135</v>
      </c>
      <c r="J580" s="4">
        <f t="shared" si="122"/>
        <v>214027.39726027398</v>
      </c>
    </row>
    <row r="581" spans="3:10" x14ac:dyDescent="0.35">
      <c r="C581" s="2">
        <f t="shared" si="123"/>
        <v>45962</v>
      </c>
      <c r="D581" s="2">
        <f t="shared" si="124"/>
        <v>45992</v>
      </c>
      <c r="E581" s="2">
        <f t="shared" si="119"/>
        <v>46327</v>
      </c>
      <c r="F581">
        <f t="shared" si="120"/>
        <v>30</v>
      </c>
      <c r="G581">
        <f t="shared" si="121"/>
        <v>365</v>
      </c>
      <c r="I581" t="s">
        <v>136</v>
      </c>
      <c r="J581" s="4">
        <f t="shared" si="122"/>
        <v>207123.28767123289</v>
      </c>
    </row>
    <row r="582" spans="3:10" x14ac:dyDescent="0.35">
      <c r="C582" s="2">
        <f t="shared" si="123"/>
        <v>45992</v>
      </c>
      <c r="D582" s="2">
        <f t="shared" si="124"/>
        <v>46023</v>
      </c>
      <c r="E582" s="2">
        <f t="shared" si="119"/>
        <v>46357</v>
      </c>
      <c r="F582">
        <f t="shared" si="120"/>
        <v>31</v>
      </c>
      <c r="G582">
        <f t="shared" si="121"/>
        <v>365</v>
      </c>
      <c r="I582" t="s">
        <v>137</v>
      </c>
      <c r="J582" s="4">
        <f t="shared" si="122"/>
        <v>214027.39726027398</v>
      </c>
    </row>
    <row r="583" spans="3:10" x14ac:dyDescent="0.35">
      <c r="C583" s="2">
        <f t="shared" si="123"/>
        <v>46023</v>
      </c>
      <c r="D583" s="2">
        <f t="shared" si="124"/>
        <v>46054</v>
      </c>
      <c r="E583" s="2">
        <f t="shared" si="119"/>
        <v>46388</v>
      </c>
      <c r="F583">
        <f t="shared" si="120"/>
        <v>31</v>
      </c>
      <c r="G583">
        <f t="shared" si="121"/>
        <v>365</v>
      </c>
      <c r="I583" t="s">
        <v>189</v>
      </c>
      <c r="J583" s="4">
        <f t="shared" si="122"/>
        <v>214027.39726027398</v>
      </c>
    </row>
    <row r="584" spans="3:10" x14ac:dyDescent="0.35">
      <c r="C584" s="2">
        <f t="shared" si="123"/>
        <v>46054</v>
      </c>
      <c r="D584" s="2">
        <f t="shared" si="124"/>
        <v>46082</v>
      </c>
      <c r="E584" s="2">
        <f t="shared" si="119"/>
        <v>46419</v>
      </c>
      <c r="F584">
        <f t="shared" si="120"/>
        <v>28</v>
      </c>
      <c r="G584">
        <f t="shared" si="121"/>
        <v>365</v>
      </c>
      <c r="I584" t="s">
        <v>190</v>
      </c>
      <c r="J584" s="4">
        <f t="shared" si="122"/>
        <v>193315.0684931507</v>
      </c>
    </row>
    <row r="585" spans="3:10" x14ac:dyDescent="0.35">
      <c r="C585" s="2">
        <f t="shared" si="123"/>
        <v>46082</v>
      </c>
      <c r="D585" s="2">
        <f t="shared" si="124"/>
        <v>46113</v>
      </c>
      <c r="E585" s="2">
        <f t="shared" si="119"/>
        <v>46447</v>
      </c>
      <c r="F585">
        <f t="shared" si="120"/>
        <v>31</v>
      </c>
      <c r="G585">
        <f t="shared" si="121"/>
        <v>365</v>
      </c>
      <c r="I585" t="s">
        <v>191</v>
      </c>
      <c r="J585" s="4">
        <f t="shared" si="122"/>
        <v>214027.39726027398</v>
      </c>
    </row>
    <row r="586" spans="3:10" x14ac:dyDescent="0.35">
      <c r="C586" s="2">
        <f t="shared" si="123"/>
        <v>46113</v>
      </c>
      <c r="D586" s="2">
        <f t="shared" si="124"/>
        <v>46143</v>
      </c>
      <c r="E586" s="2">
        <f t="shared" si="119"/>
        <v>46478</v>
      </c>
      <c r="F586">
        <f t="shared" si="120"/>
        <v>30</v>
      </c>
      <c r="G586">
        <f t="shared" si="121"/>
        <v>365</v>
      </c>
      <c r="I586" t="s">
        <v>192</v>
      </c>
      <c r="J586" s="4">
        <f t="shared" si="122"/>
        <v>207123.28767123289</v>
      </c>
    </row>
    <row r="587" spans="3:10" x14ac:dyDescent="0.35">
      <c r="C587" s="2">
        <f t="shared" si="123"/>
        <v>46143</v>
      </c>
      <c r="D587" s="2">
        <f t="shared" si="124"/>
        <v>46174</v>
      </c>
      <c r="E587" s="2">
        <f t="shared" si="119"/>
        <v>46508</v>
      </c>
      <c r="F587">
        <f t="shared" si="120"/>
        <v>31</v>
      </c>
      <c r="G587">
        <f t="shared" si="121"/>
        <v>365</v>
      </c>
      <c r="I587" t="s">
        <v>193</v>
      </c>
      <c r="J587" s="4">
        <f t="shared" si="122"/>
        <v>214027.39726027398</v>
      </c>
    </row>
    <row r="588" spans="3:10" x14ac:dyDescent="0.35">
      <c r="C588" s="2">
        <f t="shared" si="123"/>
        <v>46174</v>
      </c>
      <c r="D588" s="2">
        <f t="shared" si="124"/>
        <v>46204</v>
      </c>
      <c r="E588" s="2">
        <f t="shared" si="119"/>
        <v>46539</v>
      </c>
      <c r="F588">
        <f t="shared" si="120"/>
        <v>30</v>
      </c>
      <c r="G588">
        <f t="shared" si="121"/>
        <v>365</v>
      </c>
      <c r="I588" t="s">
        <v>194</v>
      </c>
      <c r="J588" s="4">
        <f t="shared" si="122"/>
        <v>207123.28767123289</v>
      </c>
    </row>
    <row r="589" spans="3:10" x14ac:dyDescent="0.35">
      <c r="C589" s="2">
        <f t="shared" si="123"/>
        <v>46204</v>
      </c>
      <c r="D589" s="2">
        <f t="shared" si="124"/>
        <v>46235</v>
      </c>
      <c r="E589" s="2">
        <f t="shared" si="119"/>
        <v>46569</v>
      </c>
      <c r="F589">
        <f t="shared" si="120"/>
        <v>31</v>
      </c>
      <c r="G589">
        <f t="shared" si="121"/>
        <v>365</v>
      </c>
      <c r="I589" t="s">
        <v>195</v>
      </c>
      <c r="J589" s="4">
        <f t="shared" si="122"/>
        <v>214027.39726027398</v>
      </c>
    </row>
    <row r="590" spans="3:10" x14ac:dyDescent="0.35">
      <c r="C590" s="2">
        <f t="shared" si="123"/>
        <v>46235</v>
      </c>
      <c r="D590" s="2">
        <f t="shared" si="124"/>
        <v>46266</v>
      </c>
      <c r="E590" s="2">
        <f t="shared" si="119"/>
        <v>46600</v>
      </c>
      <c r="F590">
        <f t="shared" si="120"/>
        <v>31</v>
      </c>
      <c r="G590">
        <f t="shared" si="121"/>
        <v>365</v>
      </c>
      <c r="I590" t="s">
        <v>196</v>
      </c>
      <c r="J590" s="4">
        <f t="shared" si="122"/>
        <v>214027.39726027398</v>
      </c>
    </row>
    <row r="591" spans="3:10" x14ac:dyDescent="0.35">
      <c r="C591" s="2">
        <f t="shared" si="123"/>
        <v>46266</v>
      </c>
      <c r="D591" s="2">
        <f t="shared" si="124"/>
        <v>46296</v>
      </c>
      <c r="E591" s="2">
        <f t="shared" si="119"/>
        <v>46631</v>
      </c>
      <c r="F591">
        <f t="shared" si="120"/>
        <v>30</v>
      </c>
      <c r="G591">
        <f t="shared" si="121"/>
        <v>365</v>
      </c>
      <c r="I591" t="s">
        <v>197</v>
      </c>
      <c r="J591" s="4">
        <f t="shared" si="122"/>
        <v>207123.28767123289</v>
      </c>
    </row>
    <row r="592" spans="3:10" x14ac:dyDescent="0.35">
      <c r="C592" s="2">
        <f t="shared" si="123"/>
        <v>46296</v>
      </c>
      <c r="D592" s="2">
        <f t="shared" si="124"/>
        <v>46327</v>
      </c>
      <c r="E592" s="2">
        <f t="shared" si="119"/>
        <v>46661</v>
      </c>
      <c r="F592">
        <f t="shared" si="120"/>
        <v>31</v>
      </c>
      <c r="G592">
        <f t="shared" si="121"/>
        <v>365</v>
      </c>
      <c r="I592" t="s">
        <v>198</v>
      </c>
      <c r="J592" s="4">
        <f t="shared" si="122"/>
        <v>214027.39726027398</v>
      </c>
    </row>
    <row r="593" spans="3:10" x14ac:dyDescent="0.35">
      <c r="C593" s="2">
        <f t="shared" si="123"/>
        <v>46327</v>
      </c>
      <c r="D593" s="2">
        <f t="shared" si="124"/>
        <v>46357</v>
      </c>
      <c r="E593" s="2">
        <f t="shared" si="119"/>
        <v>46692</v>
      </c>
      <c r="F593">
        <f t="shared" si="120"/>
        <v>30</v>
      </c>
      <c r="G593">
        <f t="shared" si="121"/>
        <v>365</v>
      </c>
      <c r="I593" t="s">
        <v>199</v>
      </c>
      <c r="J593" s="4">
        <f t="shared" si="122"/>
        <v>207123.28767123289</v>
      </c>
    </row>
    <row r="594" spans="3:10" x14ac:dyDescent="0.35">
      <c r="C594" s="2">
        <f t="shared" si="123"/>
        <v>46357</v>
      </c>
      <c r="D594" s="2">
        <f t="shared" si="124"/>
        <v>46388</v>
      </c>
      <c r="E594" s="2">
        <f t="shared" si="119"/>
        <v>46722</v>
      </c>
      <c r="F594">
        <f t="shared" si="120"/>
        <v>31</v>
      </c>
      <c r="G594">
        <f t="shared" si="121"/>
        <v>365</v>
      </c>
      <c r="I594" t="s">
        <v>200</v>
      </c>
      <c r="J594" s="4">
        <f t="shared" si="122"/>
        <v>214027.39726027398</v>
      </c>
    </row>
    <row r="597" spans="3:10" x14ac:dyDescent="0.35">
      <c r="C597" t="s">
        <v>201</v>
      </c>
      <c r="E597" s="19" t="s">
        <v>100</v>
      </c>
      <c r="F597" s="20">
        <f>J571</f>
        <v>214027.39726027398</v>
      </c>
    </row>
    <row r="598" spans="3:10" x14ac:dyDescent="0.35">
      <c r="E598" s="19" t="s">
        <v>101</v>
      </c>
      <c r="F598" s="20">
        <f>J572</f>
        <v>193315.0684931507</v>
      </c>
    </row>
    <row r="599" spans="3:10" x14ac:dyDescent="0.35">
      <c r="E599" s="19" t="s">
        <v>102</v>
      </c>
      <c r="F599" s="20">
        <f t="shared" ref="F599:F618" si="125">J573</f>
        <v>214027.39726027398</v>
      </c>
    </row>
    <row r="600" spans="3:10" x14ac:dyDescent="0.35">
      <c r="E600" s="19" t="s">
        <v>103</v>
      </c>
      <c r="F600" s="20">
        <f t="shared" si="125"/>
        <v>207123.28767123289</v>
      </c>
    </row>
    <row r="601" spans="3:10" x14ac:dyDescent="0.35">
      <c r="E601" s="19" t="s">
        <v>104</v>
      </c>
      <c r="F601" s="20">
        <f t="shared" si="125"/>
        <v>214027.39726027398</v>
      </c>
    </row>
    <row r="602" spans="3:10" x14ac:dyDescent="0.35">
      <c r="E602" s="19" t="s">
        <v>105</v>
      </c>
      <c r="F602" s="20">
        <f t="shared" si="125"/>
        <v>207123.28767123289</v>
      </c>
    </row>
    <row r="603" spans="3:10" x14ac:dyDescent="0.35">
      <c r="E603" s="19" t="s">
        <v>106</v>
      </c>
      <c r="F603" s="20">
        <f t="shared" si="125"/>
        <v>214027.39726027398</v>
      </c>
    </row>
    <row r="604" spans="3:10" x14ac:dyDescent="0.35">
      <c r="E604" s="19" t="s">
        <v>107</v>
      </c>
      <c r="F604" s="20">
        <f t="shared" si="125"/>
        <v>214027.39726027398</v>
      </c>
    </row>
    <row r="605" spans="3:10" x14ac:dyDescent="0.35">
      <c r="E605" s="19" t="s">
        <v>134</v>
      </c>
      <c r="F605" s="20">
        <f t="shared" si="125"/>
        <v>207123.28767123289</v>
      </c>
    </row>
    <row r="606" spans="3:10" x14ac:dyDescent="0.35">
      <c r="E606" s="19" t="s">
        <v>135</v>
      </c>
      <c r="F606" s="20">
        <f t="shared" si="125"/>
        <v>214027.39726027398</v>
      </c>
    </row>
    <row r="607" spans="3:10" x14ac:dyDescent="0.35">
      <c r="E607" s="19" t="s">
        <v>136</v>
      </c>
      <c r="F607" s="20">
        <f t="shared" si="125"/>
        <v>207123.28767123289</v>
      </c>
    </row>
    <row r="608" spans="3:10" x14ac:dyDescent="0.35">
      <c r="E608" s="19" t="s">
        <v>137</v>
      </c>
      <c r="F608" s="20">
        <f t="shared" si="125"/>
        <v>214027.39726027398</v>
      </c>
    </row>
    <row r="609" spans="1:7" x14ac:dyDescent="0.35">
      <c r="E609" s="19" t="s">
        <v>189</v>
      </c>
      <c r="F609" s="20">
        <f t="shared" si="125"/>
        <v>214027.39726027398</v>
      </c>
    </row>
    <row r="610" spans="1:7" x14ac:dyDescent="0.35">
      <c r="E610" s="19" t="s">
        <v>190</v>
      </c>
      <c r="F610" s="20">
        <f t="shared" si="125"/>
        <v>193315.0684931507</v>
      </c>
    </row>
    <row r="611" spans="1:7" x14ac:dyDescent="0.35">
      <c r="E611" s="19" t="s">
        <v>191</v>
      </c>
      <c r="F611" s="20">
        <f t="shared" si="125"/>
        <v>214027.39726027398</v>
      </c>
    </row>
    <row r="612" spans="1:7" x14ac:dyDescent="0.35">
      <c r="E612" s="19" t="s">
        <v>192</v>
      </c>
      <c r="F612" s="20">
        <f t="shared" si="125"/>
        <v>207123.28767123289</v>
      </c>
    </row>
    <row r="613" spans="1:7" x14ac:dyDescent="0.35">
      <c r="E613" s="19" t="s">
        <v>193</v>
      </c>
      <c r="F613" s="20">
        <f t="shared" si="125"/>
        <v>214027.39726027398</v>
      </c>
    </row>
    <row r="614" spans="1:7" x14ac:dyDescent="0.35">
      <c r="E614" s="19" t="s">
        <v>194</v>
      </c>
      <c r="F614" s="20">
        <f t="shared" si="125"/>
        <v>207123.28767123289</v>
      </c>
    </row>
    <row r="615" spans="1:7" x14ac:dyDescent="0.35">
      <c r="E615" s="19" t="s">
        <v>195</v>
      </c>
      <c r="F615" s="20">
        <f t="shared" si="125"/>
        <v>214027.39726027398</v>
      </c>
    </row>
    <row r="616" spans="1:7" x14ac:dyDescent="0.35">
      <c r="E616" s="19" t="s">
        <v>196</v>
      </c>
      <c r="F616" s="20">
        <f t="shared" si="125"/>
        <v>214027.39726027398</v>
      </c>
    </row>
    <row r="617" spans="1:7" x14ac:dyDescent="0.35">
      <c r="E617" s="19" t="s">
        <v>197</v>
      </c>
      <c r="F617" s="20">
        <f t="shared" si="125"/>
        <v>207123.28767123289</v>
      </c>
    </row>
    <row r="618" spans="1:7" x14ac:dyDescent="0.35">
      <c r="E618" s="19" t="s">
        <v>198</v>
      </c>
      <c r="F618" s="20">
        <f t="shared" si="125"/>
        <v>214027.39726027398</v>
      </c>
    </row>
    <row r="619" spans="1:7" x14ac:dyDescent="0.35">
      <c r="E619" s="19" t="s">
        <v>199</v>
      </c>
      <c r="F619" s="20">
        <f>J593</f>
        <v>207123.28767123289</v>
      </c>
    </row>
    <row r="620" spans="1:7" x14ac:dyDescent="0.35">
      <c r="E620" s="19" t="s">
        <v>200</v>
      </c>
      <c r="F620" s="20">
        <f>J594+D565</f>
        <v>35214027.397260271</v>
      </c>
    </row>
    <row r="621" spans="1:7" x14ac:dyDescent="0.35">
      <c r="F621" s="5">
        <f>SUM(F597:F620)</f>
        <v>40040000</v>
      </c>
      <c r="G621" s="5">
        <f>F621-D565</f>
        <v>5040000</v>
      </c>
    </row>
    <row r="623" spans="1:7" x14ac:dyDescent="0.35">
      <c r="A623">
        <v>47</v>
      </c>
      <c r="B623" t="s">
        <v>27</v>
      </c>
      <c r="C623" t="s">
        <v>82</v>
      </c>
      <c r="D623" s="1">
        <v>45828</v>
      </c>
    </row>
    <row r="624" spans="1:7" x14ac:dyDescent="0.35">
      <c r="C624" t="s">
        <v>83</v>
      </c>
      <c r="D624" s="2">
        <f>D623+400</f>
        <v>46228</v>
      </c>
    </row>
    <row r="625" spans="3:10" x14ac:dyDescent="0.35">
      <c r="C625" t="s">
        <v>89</v>
      </c>
      <c r="D625" t="s">
        <v>85</v>
      </c>
    </row>
    <row r="626" spans="3:10" x14ac:dyDescent="0.35">
      <c r="C626" t="s">
        <v>90</v>
      </c>
      <c r="D626" t="s">
        <v>84</v>
      </c>
    </row>
    <row r="627" spans="3:10" x14ac:dyDescent="0.35">
      <c r="C627" t="s">
        <v>133</v>
      </c>
      <c r="D627" t="s">
        <v>127</v>
      </c>
    </row>
    <row r="628" spans="3:10" x14ac:dyDescent="0.35">
      <c r="C628" t="s">
        <v>91</v>
      </c>
      <c r="D628" s="7">
        <v>75000</v>
      </c>
    </row>
    <row r="629" spans="3:10" x14ac:dyDescent="0.35">
      <c r="C629" t="s">
        <v>92</v>
      </c>
      <c r="D629" s="3">
        <v>6.25E-2</v>
      </c>
    </row>
    <row r="630" spans="3:10" x14ac:dyDescent="0.35">
      <c r="C630" t="s">
        <v>93</v>
      </c>
      <c r="D630">
        <f>D624-D623</f>
        <v>400</v>
      </c>
    </row>
    <row r="631" spans="3:10" x14ac:dyDescent="0.35">
      <c r="C631" t="s">
        <v>94</v>
      </c>
      <c r="D631">
        <f>400/365</f>
        <v>1.095890410958904</v>
      </c>
    </row>
    <row r="633" spans="3:10" x14ac:dyDescent="0.35">
      <c r="C633" t="s">
        <v>95</v>
      </c>
      <c r="D633" t="s">
        <v>96</v>
      </c>
      <c r="E633" t="s">
        <v>97</v>
      </c>
      <c r="F633" t="s">
        <v>98</v>
      </c>
      <c r="G633" t="s">
        <v>99</v>
      </c>
    </row>
    <row r="634" spans="3:10" x14ac:dyDescent="0.35">
      <c r="C634" s="1">
        <v>45828</v>
      </c>
      <c r="D634" s="2">
        <f>EDATE(C634,1)</f>
        <v>45858</v>
      </c>
      <c r="E634" s="2">
        <f>EDATE(C634,12)</f>
        <v>46193</v>
      </c>
      <c r="F634">
        <f>D634-C634</f>
        <v>30</v>
      </c>
      <c r="G634">
        <f>E634-C634</f>
        <v>365</v>
      </c>
      <c r="I634" t="s">
        <v>100</v>
      </c>
      <c r="J634" s="12">
        <f>$D$628*$D$629*F634/G634</f>
        <v>385.27397260273972</v>
      </c>
    </row>
    <row r="635" spans="3:10" x14ac:dyDescent="0.35">
      <c r="C635" s="2">
        <f>D634</f>
        <v>45858</v>
      </c>
      <c r="D635" s="2">
        <f>EDATE(C635,1)</f>
        <v>45889</v>
      </c>
      <c r="E635" s="2">
        <f t="shared" ref="E635:E647" si="126">EDATE(C635,12)</f>
        <v>46223</v>
      </c>
      <c r="F635">
        <f t="shared" ref="F635:F647" si="127">D635-C635</f>
        <v>31</v>
      </c>
      <c r="G635">
        <f t="shared" ref="G635:G647" si="128">E635-C635</f>
        <v>365</v>
      </c>
      <c r="I635" t="s">
        <v>101</v>
      </c>
      <c r="J635" s="12">
        <f t="shared" ref="J635:J647" si="129">$D$628*$D$629*F635/G635</f>
        <v>398.11643835616439</v>
      </c>
    </row>
    <row r="636" spans="3:10" x14ac:dyDescent="0.35">
      <c r="C636" s="2">
        <f>D635</f>
        <v>45889</v>
      </c>
      <c r="D636" s="2">
        <f>EDATE(C636,1)</f>
        <v>45920</v>
      </c>
      <c r="E636" s="2">
        <f t="shared" si="126"/>
        <v>46254</v>
      </c>
      <c r="F636">
        <f t="shared" si="127"/>
        <v>31</v>
      </c>
      <c r="G636">
        <f t="shared" si="128"/>
        <v>365</v>
      </c>
      <c r="I636" t="s">
        <v>102</v>
      </c>
      <c r="J636" s="12">
        <f t="shared" si="129"/>
        <v>398.11643835616439</v>
      </c>
    </row>
    <row r="637" spans="3:10" x14ac:dyDescent="0.35">
      <c r="C637" s="2">
        <f>D636</f>
        <v>45920</v>
      </c>
      <c r="D637" s="2">
        <f>EDATE(C637,1)</f>
        <v>45950</v>
      </c>
      <c r="E637" s="2">
        <f t="shared" si="126"/>
        <v>46285</v>
      </c>
      <c r="F637">
        <f t="shared" si="127"/>
        <v>30</v>
      </c>
      <c r="G637">
        <f t="shared" si="128"/>
        <v>365</v>
      </c>
      <c r="I637" t="s">
        <v>103</v>
      </c>
      <c r="J637" s="12">
        <f t="shared" si="129"/>
        <v>385.27397260273972</v>
      </c>
    </row>
    <row r="638" spans="3:10" x14ac:dyDescent="0.35">
      <c r="C638" s="2">
        <f>D637</f>
        <v>45950</v>
      </c>
      <c r="D638" s="2">
        <f>EDATE(C638,1)</f>
        <v>45981</v>
      </c>
      <c r="E638" s="2">
        <f t="shared" si="126"/>
        <v>46315</v>
      </c>
      <c r="F638">
        <f t="shared" si="127"/>
        <v>31</v>
      </c>
      <c r="G638">
        <f t="shared" si="128"/>
        <v>365</v>
      </c>
      <c r="I638" t="s">
        <v>104</v>
      </c>
      <c r="J638" s="12">
        <f t="shared" si="129"/>
        <v>398.11643835616439</v>
      </c>
    </row>
    <row r="639" spans="3:10" x14ac:dyDescent="0.35">
      <c r="C639" s="2">
        <f t="shared" ref="C639:C647" si="130">D638</f>
        <v>45981</v>
      </c>
      <c r="D639" s="2">
        <f t="shared" ref="D639:D646" si="131">EDATE(C639,1)</f>
        <v>46011</v>
      </c>
      <c r="E639" s="2">
        <f t="shared" si="126"/>
        <v>46346</v>
      </c>
      <c r="F639">
        <f t="shared" si="127"/>
        <v>30</v>
      </c>
      <c r="G639">
        <f t="shared" si="128"/>
        <v>365</v>
      </c>
      <c r="I639" t="s">
        <v>105</v>
      </c>
      <c r="J639" s="12">
        <f t="shared" si="129"/>
        <v>385.27397260273972</v>
      </c>
    </row>
    <row r="640" spans="3:10" x14ac:dyDescent="0.35">
      <c r="C640" s="2">
        <f t="shared" si="130"/>
        <v>46011</v>
      </c>
      <c r="D640" s="2">
        <f t="shared" si="131"/>
        <v>46042</v>
      </c>
      <c r="E640" s="2">
        <f t="shared" si="126"/>
        <v>46376</v>
      </c>
      <c r="F640">
        <f t="shared" si="127"/>
        <v>31</v>
      </c>
      <c r="G640">
        <f t="shared" si="128"/>
        <v>365</v>
      </c>
      <c r="I640" t="s">
        <v>106</v>
      </c>
      <c r="J640" s="12">
        <f t="shared" si="129"/>
        <v>398.11643835616439</v>
      </c>
    </row>
    <row r="641" spans="1:10" x14ac:dyDescent="0.35">
      <c r="C641" s="2">
        <f t="shared" si="130"/>
        <v>46042</v>
      </c>
      <c r="D641" s="2">
        <f t="shared" si="131"/>
        <v>46073</v>
      </c>
      <c r="E641" s="2">
        <f t="shared" si="126"/>
        <v>46407</v>
      </c>
      <c r="F641">
        <f t="shared" si="127"/>
        <v>31</v>
      </c>
      <c r="G641">
        <f t="shared" si="128"/>
        <v>365</v>
      </c>
      <c r="I641" t="s">
        <v>107</v>
      </c>
      <c r="J641" s="12">
        <f t="shared" si="129"/>
        <v>398.11643835616439</v>
      </c>
    </row>
    <row r="642" spans="1:10" x14ac:dyDescent="0.35">
      <c r="C642" s="2">
        <f t="shared" si="130"/>
        <v>46073</v>
      </c>
      <c r="D642" s="2">
        <f t="shared" si="131"/>
        <v>46101</v>
      </c>
      <c r="E642" s="2">
        <f t="shared" si="126"/>
        <v>46438</v>
      </c>
      <c r="F642">
        <f t="shared" si="127"/>
        <v>28</v>
      </c>
      <c r="G642">
        <f t="shared" si="128"/>
        <v>365</v>
      </c>
      <c r="I642" t="s">
        <v>134</v>
      </c>
      <c r="J642" s="12">
        <f t="shared" si="129"/>
        <v>359.58904109589042</v>
      </c>
    </row>
    <row r="643" spans="1:10" x14ac:dyDescent="0.35">
      <c r="C643" s="2">
        <f t="shared" si="130"/>
        <v>46101</v>
      </c>
      <c r="D643" s="2">
        <f t="shared" si="131"/>
        <v>46132</v>
      </c>
      <c r="E643" s="2">
        <f t="shared" si="126"/>
        <v>46466</v>
      </c>
      <c r="F643">
        <f t="shared" si="127"/>
        <v>31</v>
      </c>
      <c r="G643">
        <f t="shared" si="128"/>
        <v>365</v>
      </c>
      <c r="I643" t="s">
        <v>135</v>
      </c>
      <c r="J643" s="12">
        <f t="shared" si="129"/>
        <v>398.11643835616439</v>
      </c>
    </row>
    <row r="644" spans="1:10" x14ac:dyDescent="0.35">
      <c r="C644" s="2">
        <f t="shared" si="130"/>
        <v>46132</v>
      </c>
      <c r="D644" s="2">
        <f t="shared" si="131"/>
        <v>46162</v>
      </c>
      <c r="E644" s="2">
        <f t="shared" si="126"/>
        <v>46497</v>
      </c>
      <c r="F644">
        <f t="shared" si="127"/>
        <v>30</v>
      </c>
      <c r="G644">
        <f t="shared" si="128"/>
        <v>365</v>
      </c>
      <c r="I644" t="s">
        <v>136</v>
      </c>
      <c r="J644" s="12">
        <f t="shared" si="129"/>
        <v>385.27397260273972</v>
      </c>
    </row>
    <row r="645" spans="1:10" x14ac:dyDescent="0.35">
      <c r="C645" s="2">
        <f t="shared" si="130"/>
        <v>46162</v>
      </c>
      <c r="D645" s="2">
        <f t="shared" si="131"/>
        <v>46193</v>
      </c>
      <c r="E645" s="2">
        <f t="shared" si="126"/>
        <v>46527</v>
      </c>
      <c r="F645">
        <f t="shared" si="127"/>
        <v>31</v>
      </c>
      <c r="G645">
        <f t="shared" si="128"/>
        <v>365</v>
      </c>
      <c r="I645" t="s">
        <v>137</v>
      </c>
      <c r="J645" s="12">
        <f t="shared" si="129"/>
        <v>398.11643835616439</v>
      </c>
    </row>
    <row r="646" spans="1:10" x14ac:dyDescent="0.35">
      <c r="C646" s="2">
        <f t="shared" si="130"/>
        <v>46193</v>
      </c>
      <c r="D646" s="2">
        <f t="shared" si="131"/>
        <v>46223</v>
      </c>
      <c r="E646" s="2">
        <f t="shared" si="126"/>
        <v>46558</v>
      </c>
      <c r="F646">
        <f t="shared" si="127"/>
        <v>30</v>
      </c>
      <c r="G646">
        <f t="shared" si="128"/>
        <v>365</v>
      </c>
      <c r="I646" t="s">
        <v>189</v>
      </c>
      <c r="J646" s="12">
        <f t="shared" si="129"/>
        <v>385.27397260273972</v>
      </c>
    </row>
    <row r="647" spans="1:10" x14ac:dyDescent="0.35">
      <c r="C647" s="2">
        <f t="shared" si="130"/>
        <v>46223</v>
      </c>
      <c r="D647" s="2">
        <f>C634+400</f>
        <v>46228</v>
      </c>
      <c r="E647" s="2">
        <f t="shared" si="126"/>
        <v>46588</v>
      </c>
      <c r="F647">
        <f t="shared" si="127"/>
        <v>5</v>
      </c>
      <c r="G647">
        <f t="shared" si="128"/>
        <v>365</v>
      </c>
      <c r="I647" t="s">
        <v>190</v>
      </c>
      <c r="J647" s="12">
        <f t="shared" si="129"/>
        <v>64.212328767123282</v>
      </c>
    </row>
    <row r="649" spans="1:10" x14ac:dyDescent="0.35">
      <c r="D649" s="19" t="s">
        <v>202</v>
      </c>
      <c r="E649" s="19"/>
      <c r="F649" s="19">
        <f>COUNT(J634:J647)</f>
        <v>14</v>
      </c>
    </row>
    <row r="650" spans="1:10" x14ac:dyDescent="0.35">
      <c r="D650" s="19" t="s">
        <v>203</v>
      </c>
      <c r="E650" s="19"/>
      <c r="F650" s="22">
        <f>SUM(J634:J647)</f>
        <v>5136.9863013698632</v>
      </c>
    </row>
    <row r="652" spans="1:10" x14ac:dyDescent="0.35">
      <c r="A652">
        <v>48</v>
      </c>
      <c r="B652" t="s">
        <v>28</v>
      </c>
      <c r="C652" t="s">
        <v>82</v>
      </c>
      <c r="D652" s="1">
        <v>45702</v>
      </c>
    </row>
    <row r="653" spans="1:10" x14ac:dyDescent="0.35">
      <c r="C653" t="s">
        <v>83</v>
      </c>
      <c r="D653" s="2">
        <f>EDATE(D652,24)</f>
        <v>46432</v>
      </c>
    </row>
    <row r="654" spans="1:10" x14ac:dyDescent="0.35">
      <c r="C654" t="s">
        <v>89</v>
      </c>
      <c r="D654" t="s">
        <v>85</v>
      </c>
    </row>
    <row r="655" spans="1:10" x14ac:dyDescent="0.35">
      <c r="C655" t="s">
        <v>90</v>
      </c>
      <c r="D655" t="s">
        <v>86</v>
      </c>
    </row>
    <row r="656" spans="1:10" x14ac:dyDescent="0.35">
      <c r="C656" t="s">
        <v>133</v>
      </c>
      <c r="D656" t="s">
        <v>127</v>
      </c>
    </row>
    <row r="657" spans="1:10" x14ac:dyDescent="0.35">
      <c r="C657" t="s">
        <v>91</v>
      </c>
      <c r="D657" s="7">
        <v>225000</v>
      </c>
    </row>
    <row r="658" spans="1:10" x14ac:dyDescent="0.35">
      <c r="C658" t="s">
        <v>92</v>
      </c>
      <c r="D658" s="3">
        <v>7.4499999999999997E-2</v>
      </c>
    </row>
    <row r="659" spans="1:10" x14ac:dyDescent="0.35">
      <c r="C659" t="s">
        <v>93</v>
      </c>
      <c r="D659">
        <f>D653-D652</f>
        <v>730</v>
      </c>
    </row>
    <row r="660" spans="1:10" x14ac:dyDescent="0.35">
      <c r="C660" t="s">
        <v>94</v>
      </c>
      <c r="D660">
        <v>2</v>
      </c>
    </row>
    <row r="662" spans="1:10" x14ac:dyDescent="0.35">
      <c r="C662" t="s">
        <v>95</v>
      </c>
      <c r="D662" t="s">
        <v>96</v>
      </c>
      <c r="E662" t="s">
        <v>97</v>
      </c>
      <c r="F662" t="s">
        <v>98</v>
      </c>
      <c r="G662" t="s">
        <v>99</v>
      </c>
    </row>
    <row r="663" spans="1:10" x14ac:dyDescent="0.35">
      <c r="C663" s="1">
        <v>45702</v>
      </c>
      <c r="D663" s="2">
        <f>EDATE(C663,1)</f>
        <v>45730</v>
      </c>
      <c r="E663" s="2">
        <f>EDATE(C663,12)</f>
        <v>46067</v>
      </c>
      <c r="F663">
        <f>D663-C663</f>
        <v>28</v>
      </c>
      <c r="G663">
        <f>E663-C663</f>
        <v>365</v>
      </c>
      <c r="I663" t="s">
        <v>100</v>
      </c>
      <c r="J663" s="4">
        <f>$D$657*$D$658*F663/G663</f>
        <v>1285.8904109589041</v>
      </c>
    </row>
    <row r="665" spans="1:10" x14ac:dyDescent="0.35">
      <c r="E665" t="s">
        <v>204</v>
      </c>
      <c r="F665" s="20">
        <f>J663</f>
        <v>1285.8904109589041</v>
      </c>
    </row>
    <row r="667" spans="1:10" x14ac:dyDescent="0.35">
      <c r="A667">
        <v>49</v>
      </c>
      <c r="B667" t="s">
        <v>29</v>
      </c>
      <c r="C667" t="s">
        <v>82</v>
      </c>
      <c r="D667" s="1">
        <v>45748</v>
      </c>
    </row>
    <row r="668" spans="1:10" x14ac:dyDescent="0.35">
      <c r="C668" t="s">
        <v>83</v>
      </c>
      <c r="D668" s="2">
        <f>EDATE(D667,12)</f>
        <v>46113</v>
      </c>
    </row>
    <row r="669" spans="1:10" x14ac:dyDescent="0.35">
      <c r="C669" t="s">
        <v>89</v>
      </c>
      <c r="D669" t="s">
        <v>85</v>
      </c>
    </row>
    <row r="670" spans="1:10" x14ac:dyDescent="0.35">
      <c r="C670" t="s">
        <v>90</v>
      </c>
      <c r="D670" t="s">
        <v>84</v>
      </c>
    </row>
    <row r="671" spans="1:10" x14ac:dyDescent="0.35">
      <c r="C671" t="s">
        <v>133</v>
      </c>
      <c r="D671" t="s">
        <v>127</v>
      </c>
    </row>
    <row r="672" spans="1:10" x14ac:dyDescent="0.35">
      <c r="C672" t="s">
        <v>91</v>
      </c>
      <c r="D672" s="7">
        <v>100000</v>
      </c>
    </row>
    <row r="673" spans="3:10" x14ac:dyDescent="0.35">
      <c r="C673" t="s">
        <v>92</v>
      </c>
      <c r="D673" s="3">
        <v>6.7500000000000004E-2</v>
      </c>
    </row>
    <row r="674" spans="3:10" x14ac:dyDescent="0.35">
      <c r="C674" t="s">
        <v>93</v>
      </c>
      <c r="D674">
        <f>D668-D667</f>
        <v>365</v>
      </c>
    </row>
    <row r="675" spans="3:10" x14ac:dyDescent="0.35">
      <c r="C675" t="s">
        <v>94</v>
      </c>
      <c r="D675">
        <v>1</v>
      </c>
    </row>
    <row r="677" spans="3:10" x14ac:dyDescent="0.35">
      <c r="C677" t="s">
        <v>95</v>
      </c>
      <c r="D677" t="s">
        <v>96</v>
      </c>
      <c r="E677" t="s">
        <v>97</v>
      </c>
      <c r="F677" t="s">
        <v>98</v>
      </c>
      <c r="G677" t="s">
        <v>99</v>
      </c>
    </row>
    <row r="678" spans="3:10" x14ac:dyDescent="0.35">
      <c r="C678" s="1">
        <v>45748</v>
      </c>
      <c r="D678" s="2">
        <f>EDATE(C678,1)</f>
        <v>45778</v>
      </c>
      <c r="E678" s="2">
        <f>EDATE(C678,12)</f>
        <v>46113</v>
      </c>
      <c r="F678">
        <f>D678-C678</f>
        <v>30</v>
      </c>
      <c r="G678">
        <f>E678-C678</f>
        <v>365</v>
      </c>
      <c r="I678" t="s">
        <v>100</v>
      </c>
      <c r="J678">
        <f>$D$672*$D$673*F678/G678</f>
        <v>554.79452054794524</v>
      </c>
    </row>
    <row r="679" spans="3:10" x14ac:dyDescent="0.35">
      <c r="C679" s="2">
        <f>D678</f>
        <v>45778</v>
      </c>
      <c r="D679" s="2">
        <f>EDATE(C679,1)</f>
        <v>45809</v>
      </c>
      <c r="E679" s="2">
        <f t="shared" ref="E679:E689" si="132">EDATE(C679,12)</f>
        <v>46143</v>
      </c>
      <c r="F679">
        <f t="shared" ref="F679:F689" si="133">D679-C679</f>
        <v>31</v>
      </c>
      <c r="G679">
        <f>E679-C679</f>
        <v>365</v>
      </c>
      <c r="I679" t="s">
        <v>101</v>
      </c>
      <c r="J679">
        <f t="shared" ref="J679:J688" si="134">$D$672*$D$673*F679/G679</f>
        <v>573.28767123287673</v>
      </c>
    </row>
    <row r="680" spans="3:10" x14ac:dyDescent="0.35">
      <c r="C680" s="2">
        <f>D679</f>
        <v>45809</v>
      </c>
      <c r="D680" s="2">
        <f>EDATE(C680,1)</f>
        <v>45839</v>
      </c>
      <c r="E680" s="2">
        <f t="shared" si="132"/>
        <v>46174</v>
      </c>
      <c r="F680">
        <f t="shared" si="133"/>
        <v>30</v>
      </c>
      <c r="G680">
        <f>E680-C680</f>
        <v>365</v>
      </c>
      <c r="I680" t="s">
        <v>102</v>
      </c>
      <c r="J680">
        <f t="shared" si="134"/>
        <v>554.79452054794524</v>
      </c>
    </row>
    <row r="681" spans="3:10" x14ac:dyDescent="0.35">
      <c r="C681" s="2">
        <f>D680</f>
        <v>45839</v>
      </c>
      <c r="D681" s="2">
        <f>EDATE(C681,1)</f>
        <v>45870</v>
      </c>
      <c r="E681" s="2">
        <f t="shared" si="132"/>
        <v>46204</v>
      </c>
      <c r="F681">
        <f t="shared" si="133"/>
        <v>31</v>
      </c>
      <c r="G681">
        <f>E681-C681</f>
        <v>365</v>
      </c>
      <c r="I681" t="s">
        <v>103</v>
      </c>
      <c r="J681">
        <f t="shared" si="134"/>
        <v>573.28767123287673</v>
      </c>
    </row>
    <row r="682" spans="3:10" x14ac:dyDescent="0.35">
      <c r="C682" s="2">
        <f>D681</f>
        <v>45870</v>
      </c>
      <c r="D682" s="2">
        <f>EDATE(C682,1)</f>
        <v>45901</v>
      </c>
      <c r="E682" s="2">
        <f t="shared" si="132"/>
        <v>46235</v>
      </c>
      <c r="F682">
        <f t="shared" si="133"/>
        <v>31</v>
      </c>
      <c r="G682">
        <f t="shared" ref="G682:G689" si="135">E682-C682</f>
        <v>365</v>
      </c>
      <c r="I682" t="s">
        <v>104</v>
      </c>
      <c r="J682">
        <f t="shared" si="134"/>
        <v>573.28767123287673</v>
      </c>
    </row>
    <row r="683" spans="3:10" x14ac:dyDescent="0.35">
      <c r="C683" s="2">
        <f t="shared" ref="C683:C689" si="136">D682</f>
        <v>45901</v>
      </c>
      <c r="D683" s="2">
        <f t="shared" ref="D683:D689" si="137">EDATE(C683,1)</f>
        <v>45931</v>
      </c>
      <c r="E683" s="2">
        <f t="shared" si="132"/>
        <v>46266</v>
      </c>
      <c r="F683">
        <f t="shared" si="133"/>
        <v>30</v>
      </c>
      <c r="G683">
        <f t="shared" si="135"/>
        <v>365</v>
      </c>
      <c r="I683" t="s">
        <v>105</v>
      </c>
      <c r="J683">
        <f t="shared" si="134"/>
        <v>554.79452054794524</v>
      </c>
    </row>
    <row r="684" spans="3:10" x14ac:dyDescent="0.35">
      <c r="C684" s="2">
        <f t="shared" si="136"/>
        <v>45931</v>
      </c>
      <c r="D684" s="2">
        <f t="shared" si="137"/>
        <v>45962</v>
      </c>
      <c r="E684" s="2">
        <f t="shared" si="132"/>
        <v>46296</v>
      </c>
      <c r="F684">
        <f t="shared" si="133"/>
        <v>31</v>
      </c>
      <c r="G684">
        <f t="shared" si="135"/>
        <v>365</v>
      </c>
      <c r="I684" t="s">
        <v>106</v>
      </c>
      <c r="J684">
        <f t="shared" si="134"/>
        <v>573.28767123287673</v>
      </c>
    </row>
    <row r="685" spans="3:10" x14ac:dyDescent="0.35">
      <c r="C685" s="2">
        <f t="shared" si="136"/>
        <v>45962</v>
      </c>
      <c r="D685" s="2">
        <f t="shared" si="137"/>
        <v>45992</v>
      </c>
      <c r="E685" s="2">
        <f t="shared" si="132"/>
        <v>46327</v>
      </c>
      <c r="F685">
        <f t="shared" si="133"/>
        <v>30</v>
      </c>
      <c r="G685">
        <f t="shared" si="135"/>
        <v>365</v>
      </c>
      <c r="I685" t="s">
        <v>107</v>
      </c>
      <c r="J685">
        <f t="shared" si="134"/>
        <v>554.79452054794524</v>
      </c>
    </row>
    <row r="686" spans="3:10" x14ac:dyDescent="0.35">
      <c r="C686" s="2">
        <f t="shared" si="136"/>
        <v>45992</v>
      </c>
      <c r="D686" s="2">
        <f t="shared" si="137"/>
        <v>46023</v>
      </c>
      <c r="E686" s="2">
        <f t="shared" si="132"/>
        <v>46357</v>
      </c>
      <c r="F686">
        <f t="shared" si="133"/>
        <v>31</v>
      </c>
      <c r="G686">
        <f t="shared" si="135"/>
        <v>365</v>
      </c>
      <c r="I686" t="s">
        <v>134</v>
      </c>
      <c r="J686">
        <f t="shared" si="134"/>
        <v>573.28767123287673</v>
      </c>
    </row>
    <row r="687" spans="3:10" x14ac:dyDescent="0.35">
      <c r="C687" s="2">
        <f t="shared" si="136"/>
        <v>46023</v>
      </c>
      <c r="D687" s="2">
        <f t="shared" si="137"/>
        <v>46054</v>
      </c>
      <c r="E687" s="2">
        <f t="shared" si="132"/>
        <v>46388</v>
      </c>
      <c r="F687">
        <f t="shared" si="133"/>
        <v>31</v>
      </c>
      <c r="G687">
        <f t="shared" si="135"/>
        <v>365</v>
      </c>
      <c r="I687" t="s">
        <v>135</v>
      </c>
      <c r="J687">
        <f t="shared" si="134"/>
        <v>573.28767123287673</v>
      </c>
    </row>
    <row r="688" spans="3:10" x14ac:dyDescent="0.35">
      <c r="C688" s="2">
        <f t="shared" si="136"/>
        <v>46054</v>
      </c>
      <c r="D688" s="2">
        <f t="shared" si="137"/>
        <v>46082</v>
      </c>
      <c r="E688" s="2">
        <f t="shared" si="132"/>
        <v>46419</v>
      </c>
      <c r="F688">
        <f t="shared" si="133"/>
        <v>28</v>
      </c>
      <c r="G688">
        <f t="shared" si="135"/>
        <v>365</v>
      </c>
      <c r="I688" t="s">
        <v>136</v>
      </c>
      <c r="J688">
        <f t="shared" si="134"/>
        <v>517.80821917808214</v>
      </c>
    </row>
    <row r="689" spans="1:10" x14ac:dyDescent="0.35">
      <c r="C689" s="2">
        <f t="shared" si="136"/>
        <v>46082</v>
      </c>
      <c r="D689" s="2">
        <f t="shared" si="137"/>
        <v>46113</v>
      </c>
      <c r="E689" s="2">
        <f t="shared" si="132"/>
        <v>46447</v>
      </c>
      <c r="F689">
        <f t="shared" si="133"/>
        <v>31</v>
      </c>
      <c r="G689">
        <f t="shared" si="135"/>
        <v>365</v>
      </c>
      <c r="I689" t="s">
        <v>137</v>
      </c>
      <c r="J689">
        <f>$D$672*$D$673*F689/G689</f>
        <v>573.28767123287673</v>
      </c>
    </row>
    <row r="691" spans="1:10" x14ac:dyDescent="0.35">
      <c r="E691" s="19" t="s">
        <v>205</v>
      </c>
      <c r="F691" s="19"/>
      <c r="G691" s="28">
        <f>D672+J689</f>
        <v>100573.28767123287</v>
      </c>
    </row>
    <row r="694" spans="1:10" x14ac:dyDescent="0.35">
      <c r="A694">
        <v>50</v>
      </c>
      <c r="B694" t="s">
        <v>30</v>
      </c>
      <c r="C694" t="s">
        <v>82</v>
      </c>
      <c r="D694" s="2">
        <v>45658</v>
      </c>
    </row>
    <row r="695" spans="1:10" x14ac:dyDescent="0.35">
      <c r="C695" t="s">
        <v>83</v>
      </c>
      <c r="D695" s="2">
        <f>EDATE(D694,24)</f>
        <v>46388</v>
      </c>
    </row>
    <row r="696" spans="1:10" x14ac:dyDescent="0.35">
      <c r="C696" t="s">
        <v>89</v>
      </c>
      <c r="D696" t="s">
        <v>85</v>
      </c>
    </row>
    <row r="697" spans="1:10" x14ac:dyDescent="0.35">
      <c r="C697" t="s">
        <v>90</v>
      </c>
      <c r="D697" t="s">
        <v>86</v>
      </c>
    </row>
    <row r="698" spans="1:10" x14ac:dyDescent="0.35">
      <c r="C698" t="s">
        <v>133</v>
      </c>
      <c r="D698" t="s">
        <v>121</v>
      </c>
    </row>
    <row r="699" spans="1:10" x14ac:dyDescent="0.35">
      <c r="C699" t="s">
        <v>91</v>
      </c>
      <c r="D699" s="7">
        <v>300000</v>
      </c>
    </row>
    <row r="700" spans="1:10" x14ac:dyDescent="0.35">
      <c r="C700" t="s">
        <v>92</v>
      </c>
      <c r="D700" s="3">
        <v>7.4499999999999997E-2</v>
      </c>
    </row>
    <row r="701" spans="1:10" x14ac:dyDescent="0.35">
      <c r="C701" t="s">
        <v>93</v>
      </c>
      <c r="D701">
        <f>D695-D694</f>
        <v>730</v>
      </c>
    </row>
    <row r="702" spans="1:10" x14ac:dyDescent="0.35">
      <c r="C702" t="s">
        <v>94</v>
      </c>
      <c r="D702">
        <v>2</v>
      </c>
    </row>
    <row r="704" spans="1:10" x14ac:dyDescent="0.35">
      <c r="C704" t="s">
        <v>95</v>
      </c>
      <c r="D704" t="s">
        <v>96</v>
      </c>
      <c r="E704" t="s">
        <v>97</v>
      </c>
      <c r="F704" t="s">
        <v>98</v>
      </c>
      <c r="G704" t="s">
        <v>99</v>
      </c>
    </row>
    <row r="705" spans="1:10" x14ac:dyDescent="0.35">
      <c r="C705" s="1">
        <f>D694</f>
        <v>45658</v>
      </c>
      <c r="D705" s="2">
        <f>EDATE(C705,6)</f>
        <v>45839</v>
      </c>
      <c r="E705" s="2">
        <f>EDATE(C705,12)</f>
        <v>46023</v>
      </c>
      <c r="F705">
        <f>D705-C705</f>
        <v>181</v>
      </c>
      <c r="G705">
        <f>E705-C705</f>
        <v>365</v>
      </c>
      <c r="I705" t="s">
        <v>100</v>
      </c>
      <c r="J705" s="4">
        <f>$D$699*$D$700*F705/G705</f>
        <v>11083.150684931506</v>
      </c>
    </row>
    <row r="706" spans="1:10" x14ac:dyDescent="0.35">
      <c r="C706" s="2">
        <f>D705</f>
        <v>45839</v>
      </c>
      <c r="D706" s="2">
        <f>EDATE(C706,6)</f>
        <v>46023</v>
      </c>
      <c r="E706" s="2">
        <f t="shared" ref="E706:E708" si="138">EDATE(C706,12)</f>
        <v>46204</v>
      </c>
      <c r="F706">
        <f t="shared" ref="F706:F708" si="139">D706-C706</f>
        <v>184</v>
      </c>
      <c r="G706">
        <f t="shared" ref="G706:G708" si="140">E706-C706</f>
        <v>365</v>
      </c>
      <c r="I706" t="s">
        <v>132</v>
      </c>
      <c r="J706" s="4">
        <f t="shared" ref="J706:J708" si="141">$D$699*$D$700*F706/G706</f>
        <v>11266.849315068494</v>
      </c>
    </row>
    <row r="707" spans="1:10" x14ac:dyDescent="0.35">
      <c r="C707" s="2">
        <f t="shared" ref="C707:C708" si="142">D706</f>
        <v>46023</v>
      </c>
      <c r="D707" s="2">
        <f t="shared" ref="D707:D708" si="143">EDATE(C707,6)</f>
        <v>46204</v>
      </c>
      <c r="E707" s="2">
        <f t="shared" si="138"/>
        <v>46388</v>
      </c>
      <c r="F707">
        <f t="shared" si="139"/>
        <v>181</v>
      </c>
      <c r="G707">
        <f t="shared" si="140"/>
        <v>365</v>
      </c>
      <c r="I707" t="s">
        <v>102</v>
      </c>
      <c r="J707" s="4">
        <f t="shared" si="141"/>
        <v>11083.150684931506</v>
      </c>
    </row>
    <row r="708" spans="1:10" x14ac:dyDescent="0.35">
      <c r="C708" s="2">
        <f t="shared" si="142"/>
        <v>46204</v>
      </c>
      <c r="D708" s="2">
        <f t="shared" si="143"/>
        <v>46388</v>
      </c>
      <c r="E708" s="2">
        <f t="shared" si="138"/>
        <v>46569</v>
      </c>
      <c r="F708">
        <f t="shared" si="139"/>
        <v>184</v>
      </c>
      <c r="G708">
        <f t="shared" si="140"/>
        <v>365</v>
      </c>
      <c r="I708" t="s">
        <v>103</v>
      </c>
      <c r="J708" s="4">
        <f t="shared" si="141"/>
        <v>11266.849315068494</v>
      </c>
    </row>
    <row r="709" spans="1:10" x14ac:dyDescent="0.35">
      <c r="C709" s="2"/>
      <c r="D709" s="2"/>
      <c r="E709" s="2"/>
      <c r="J709" s="4"/>
    </row>
    <row r="710" spans="1:10" x14ac:dyDescent="0.35">
      <c r="C710" s="2"/>
      <c r="D710" s="2"/>
      <c r="E710" s="2"/>
    </row>
    <row r="711" spans="1:10" x14ac:dyDescent="0.35">
      <c r="C711" s="2"/>
      <c r="D711" s="26" t="s">
        <v>206</v>
      </c>
      <c r="E711" s="26" t="s">
        <v>207</v>
      </c>
    </row>
    <row r="712" spans="1:10" x14ac:dyDescent="0.35">
      <c r="C712" s="2"/>
      <c r="D712" s="26">
        <f>D705</f>
        <v>45839</v>
      </c>
      <c r="E712" s="32">
        <f>J705</f>
        <v>11083.150684931506</v>
      </c>
    </row>
    <row r="713" spans="1:10" x14ac:dyDescent="0.35">
      <c r="D713" s="26">
        <f t="shared" ref="D713:D715" si="144">D706</f>
        <v>46023</v>
      </c>
      <c r="E713" s="32">
        <f t="shared" ref="E713:E715" si="145">J706</f>
        <v>11266.849315068494</v>
      </c>
    </row>
    <row r="714" spans="1:10" x14ac:dyDescent="0.35">
      <c r="D714" s="26">
        <f t="shared" si="144"/>
        <v>46204</v>
      </c>
      <c r="E714" s="32">
        <f t="shared" si="145"/>
        <v>11083.150684931506</v>
      </c>
    </row>
    <row r="715" spans="1:10" x14ac:dyDescent="0.35">
      <c r="D715" s="26">
        <f t="shared" si="144"/>
        <v>46388</v>
      </c>
      <c r="E715" s="32">
        <f t="shared" si="145"/>
        <v>11266.849315068494</v>
      </c>
    </row>
    <row r="717" spans="1:10" x14ac:dyDescent="0.35">
      <c r="D717" s="2"/>
    </row>
    <row r="718" spans="1:10" x14ac:dyDescent="0.35">
      <c r="D718" s="2"/>
    </row>
    <row r="719" spans="1:10" x14ac:dyDescent="0.35">
      <c r="A719">
        <v>51</v>
      </c>
      <c r="B719" t="s">
        <v>31</v>
      </c>
      <c r="C719" t="s">
        <v>82</v>
      </c>
      <c r="D719" s="1">
        <v>45535</v>
      </c>
    </row>
    <row r="720" spans="1:10" x14ac:dyDescent="0.35">
      <c r="C720" t="s">
        <v>83</v>
      </c>
      <c r="D720" s="2">
        <f>EDATE(D719,18)</f>
        <v>46081</v>
      </c>
    </row>
    <row r="721" spans="3:10" x14ac:dyDescent="0.35">
      <c r="C721" t="s">
        <v>89</v>
      </c>
      <c r="D721" t="s">
        <v>85</v>
      </c>
    </row>
    <row r="722" spans="3:10" x14ac:dyDescent="0.35">
      <c r="C722" t="s">
        <v>90</v>
      </c>
      <c r="D722" t="s">
        <v>84</v>
      </c>
    </row>
    <row r="723" spans="3:10" x14ac:dyDescent="0.35">
      <c r="C723" t="s">
        <v>133</v>
      </c>
      <c r="D723" t="s">
        <v>121</v>
      </c>
    </row>
    <row r="724" spans="3:10" x14ac:dyDescent="0.35">
      <c r="C724" t="s">
        <v>91</v>
      </c>
      <c r="D724" s="7">
        <v>200000</v>
      </c>
    </row>
    <row r="725" spans="3:10" x14ac:dyDescent="0.35">
      <c r="C725" t="s">
        <v>92</v>
      </c>
      <c r="D725" s="3">
        <v>7.5499999999999998E-2</v>
      </c>
    </row>
    <row r="726" spans="3:10" x14ac:dyDescent="0.35">
      <c r="C726" t="s">
        <v>93</v>
      </c>
      <c r="D726">
        <f>D720-D719</f>
        <v>546</v>
      </c>
    </row>
    <row r="727" spans="3:10" x14ac:dyDescent="0.35">
      <c r="C727" t="s">
        <v>94</v>
      </c>
      <c r="D727">
        <f>18/12</f>
        <v>1.5</v>
      </c>
    </row>
    <row r="729" spans="3:10" x14ac:dyDescent="0.35">
      <c r="C729" t="s">
        <v>95</v>
      </c>
      <c r="D729" t="s">
        <v>96</v>
      </c>
      <c r="E729" t="s">
        <v>97</v>
      </c>
      <c r="F729" t="s">
        <v>98</v>
      </c>
      <c r="G729" t="s">
        <v>99</v>
      </c>
    </row>
    <row r="730" spans="3:10" x14ac:dyDescent="0.35">
      <c r="C730" s="1">
        <f>D719</f>
        <v>45535</v>
      </c>
      <c r="D730" s="2">
        <f>EDATE(C730,6)</f>
        <v>45716</v>
      </c>
      <c r="E730" s="2">
        <f>EDATE(C730,12)</f>
        <v>45900</v>
      </c>
      <c r="F730">
        <f>D730-C730</f>
        <v>181</v>
      </c>
      <c r="G730">
        <f>E730-C730</f>
        <v>365</v>
      </c>
      <c r="I730" t="s">
        <v>100</v>
      </c>
      <c r="J730" s="12">
        <f>$D$724*$D$725*F730/G730</f>
        <v>7487.9452054794519</v>
      </c>
    </row>
    <row r="731" spans="3:10" x14ac:dyDescent="0.35">
      <c r="C731" s="2">
        <f>D730</f>
        <v>45716</v>
      </c>
      <c r="D731" s="2">
        <f>EDATE(C730,12)</f>
        <v>45900</v>
      </c>
      <c r="E731" s="2">
        <f t="shared" ref="E731:E732" si="146">EDATE(C731,12)</f>
        <v>46081</v>
      </c>
      <c r="F731">
        <f t="shared" ref="F731:F732" si="147">D731-C731</f>
        <v>184</v>
      </c>
      <c r="G731">
        <f t="shared" ref="G731:G732" si="148">E731-C731</f>
        <v>365</v>
      </c>
      <c r="I731" t="s">
        <v>101</v>
      </c>
      <c r="J731" s="12">
        <f t="shared" ref="J731:J732" si="149">$D$724*$D$725*F731/G731</f>
        <v>7612.0547945205481</v>
      </c>
    </row>
    <row r="732" spans="3:10" x14ac:dyDescent="0.35">
      <c r="C732" s="1">
        <f>D731</f>
        <v>45900</v>
      </c>
      <c r="D732" s="2">
        <f t="shared" ref="D732" si="150">EDATE(C732,6)</f>
        <v>46081</v>
      </c>
      <c r="E732" s="2">
        <f t="shared" si="146"/>
        <v>46265</v>
      </c>
      <c r="F732">
        <f t="shared" si="147"/>
        <v>181</v>
      </c>
      <c r="G732">
        <f t="shared" si="148"/>
        <v>365</v>
      </c>
      <c r="I732" t="s">
        <v>102</v>
      </c>
      <c r="J732" s="12">
        <f t="shared" si="149"/>
        <v>7487.9452054794519</v>
      </c>
    </row>
    <row r="733" spans="3:10" x14ac:dyDescent="0.35">
      <c r="C733" s="2"/>
      <c r="D733" s="2"/>
      <c r="E733" s="2"/>
    </row>
    <row r="734" spans="3:10" x14ac:dyDescent="0.35">
      <c r="C734" s="1"/>
      <c r="D734" s="2"/>
      <c r="E734" s="21" t="s">
        <v>208</v>
      </c>
      <c r="F734" s="19" t="s">
        <v>122</v>
      </c>
    </row>
    <row r="735" spans="3:10" x14ac:dyDescent="0.35">
      <c r="C735" s="2"/>
      <c r="D735" s="2"/>
      <c r="E735" s="21">
        <f>D730</f>
        <v>45716</v>
      </c>
      <c r="F735" s="22">
        <f>J730</f>
        <v>7487.9452054794519</v>
      </c>
    </row>
    <row r="736" spans="3:10" x14ac:dyDescent="0.35">
      <c r="C736" s="1"/>
      <c r="D736" s="2"/>
      <c r="E736" s="21">
        <f t="shared" ref="E736:E737" si="151">D731</f>
        <v>45900</v>
      </c>
      <c r="F736" s="22">
        <f t="shared" ref="F736" si="152">J731</f>
        <v>7612.0547945205481</v>
      </c>
    </row>
    <row r="737" spans="1:10" x14ac:dyDescent="0.35">
      <c r="C737" s="2"/>
      <c r="D737" s="2"/>
      <c r="E737" s="21">
        <f t="shared" si="151"/>
        <v>46081</v>
      </c>
      <c r="F737" s="22">
        <f>J732+D724</f>
        <v>207487.94520547945</v>
      </c>
    </row>
    <row r="738" spans="1:10" x14ac:dyDescent="0.35">
      <c r="C738" s="1"/>
      <c r="D738" s="2"/>
      <c r="E738" s="2"/>
    </row>
    <row r="739" spans="1:10" x14ac:dyDescent="0.35">
      <c r="C739" s="1"/>
      <c r="D739" s="2"/>
      <c r="E739" s="2"/>
    </row>
    <row r="740" spans="1:10" x14ac:dyDescent="0.35">
      <c r="A740">
        <v>52</v>
      </c>
      <c r="B740" t="s">
        <v>32</v>
      </c>
    </row>
    <row r="741" spans="1:10" x14ac:dyDescent="0.35">
      <c r="C741" t="s">
        <v>82</v>
      </c>
      <c r="D741" s="1">
        <v>45731</v>
      </c>
    </row>
    <row r="742" spans="1:10" x14ac:dyDescent="0.35">
      <c r="C742" t="s">
        <v>83</v>
      </c>
      <c r="D742" s="2">
        <f>EDATE(D741,36)</f>
        <v>46827</v>
      </c>
    </row>
    <row r="743" spans="1:10" x14ac:dyDescent="0.35">
      <c r="C743" t="s">
        <v>89</v>
      </c>
      <c r="D743" t="s">
        <v>85</v>
      </c>
    </row>
    <row r="744" spans="1:10" x14ac:dyDescent="0.35">
      <c r="C744" t="s">
        <v>90</v>
      </c>
      <c r="D744" t="s">
        <v>84</v>
      </c>
    </row>
    <row r="745" spans="1:10" x14ac:dyDescent="0.35">
      <c r="C745" t="s">
        <v>133</v>
      </c>
      <c r="D745" t="s">
        <v>121</v>
      </c>
    </row>
    <row r="746" spans="1:10" x14ac:dyDescent="0.35">
      <c r="C746" t="s">
        <v>91</v>
      </c>
      <c r="D746" s="7">
        <v>400000</v>
      </c>
    </row>
    <row r="747" spans="1:10" x14ac:dyDescent="0.35">
      <c r="C747" t="s">
        <v>92</v>
      </c>
      <c r="D747" s="3">
        <v>6.8000000000000005E-2</v>
      </c>
    </row>
    <row r="748" spans="1:10" x14ac:dyDescent="0.35">
      <c r="C748" t="s">
        <v>93</v>
      </c>
      <c r="D748">
        <f>D742-D741</f>
        <v>1096</v>
      </c>
    </row>
    <row r="749" spans="1:10" x14ac:dyDescent="0.35">
      <c r="C749" t="s">
        <v>94</v>
      </c>
      <c r="D749">
        <v>3</v>
      </c>
    </row>
    <row r="751" spans="1:10" x14ac:dyDescent="0.35">
      <c r="C751" t="s">
        <v>95</v>
      </c>
      <c r="D751" t="s">
        <v>96</v>
      </c>
      <c r="E751" t="s">
        <v>97</v>
      </c>
      <c r="F751" t="s">
        <v>98</v>
      </c>
      <c r="G751" t="s">
        <v>99</v>
      </c>
    </row>
    <row r="752" spans="1:10" x14ac:dyDescent="0.35">
      <c r="C752" s="1">
        <f>D741</f>
        <v>45731</v>
      </c>
      <c r="D752" s="2">
        <f>EDATE(C752,6)</f>
        <v>45915</v>
      </c>
      <c r="E752" s="2">
        <f>EDATE(C752,12)</f>
        <v>46096</v>
      </c>
      <c r="F752">
        <f>D752-C752</f>
        <v>184</v>
      </c>
      <c r="G752">
        <f>E752-C752</f>
        <v>365</v>
      </c>
      <c r="I752" t="s">
        <v>100</v>
      </c>
      <c r="J752" s="4">
        <f>$D$746*$D$747*F752/G752</f>
        <v>13711.780821917811</v>
      </c>
    </row>
    <row r="753" spans="1:10" x14ac:dyDescent="0.35">
      <c r="C753" s="2">
        <f>D752</f>
        <v>45915</v>
      </c>
      <c r="D753" s="2">
        <f>EDATE(C753,6)</f>
        <v>46096</v>
      </c>
      <c r="E753" s="2">
        <f t="shared" ref="E753:E757" si="153">EDATE(C753,12)</f>
        <v>46280</v>
      </c>
      <c r="F753">
        <f>D753-C753</f>
        <v>181</v>
      </c>
      <c r="G753">
        <f t="shared" ref="G753:G757" si="154">E753-C753</f>
        <v>365</v>
      </c>
      <c r="I753" t="s">
        <v>132</v>
      </c>
      <c r="J753" s="4">
        <f t="shared" ref="J753:J757" si="155">$D$746*$D$747*F753/G753</f>
        <v>13488.219178082194</v>
      </c>
    </row>
    <row r="754" spans="1:10" x14ac:dyDescent="0.35">
      <c r="C754" s="2">
        <f t="shared" ref="C754:C757" si="156">D753</f>
        <v>46096</v>
      </c>
      <c r="D754" s="2">
        <f t="shared" ref="D754:D757" si="157">EDATE(C754,6)</f>
        <v>46280</v>
      </c>
      <c r="E754" s="2">
        <f t="shared" si="153"/>
        <v>46461</v>
      </c>
      <c r="F754">
        <f>D754-C754</f>
        <v>184</v>
      </c>
      <c r="G754">
        <f t="shared" si="154"/>
        <v>365</v>
      </c>
      <c r="I754" t="s">
        <v>102</v>
      </c>
      <c r="J754" s="4">
        <f t="shared" si="155"/>
        <v>13711.780821917811</v>
      </c>
    </row>
    <row r="755" spans="1:10" x14ac:dyDescent="0.35">
      <c r="C755" s="2">
        <f t="shared" si="156"/>
        <v>46280</v>
      </c>
      <c r="D755" s="2">
        <f t="shared" si="157"/>
        <v>46461</v>
      </c>
      <c r="E755" s="2">
        <f t="shared" si="153"/>
        <v>46645</v>
      </c>
      <c r="F755">
        <f t="shared" ref="F755:F757" si="158">D755-C755</f>
        <v>181</v>
      </c>
      <c r="G755">
        <f t="shared" si="154"/>
        <v>365</v>
      </c>
      <c r="I755" t="s">
        <v>103</v>
      </c>
      <c r="J755" s="4">
        <f t="shared" si="155"/>
        <v>13488.219178082194</v>
      </c>
    </row>
    <row r="756" spans="1:10" x14ac:dyDescent="0.35">
      <c r="C756" s="2">
        <f t="shared" si="156"/>
        <v>46461</v>
      </c>
      <c r="D756" s="2">
        <f t="shared" si="157"/>
        <v>46645</v>
      </c>
      <c r="E756" s="2">
        <f t="shared" si="153"/>
        <v>46827</v>
      </c>
      <c r="F756">
        <f t="shared" si="158"/>
        <v>184</v>
      </c>
      <c r="G756">
        <f t="shared" si="154"/>
        <v>366</v>
      </c>
      <c r="I756" t="s">
        <v>104</v>
      </c>
      <c r="J756" s="4">
        <f t="shared" si="155"/>
        <v>13674.316939890712</v>
      </c>
    </row>
    <row r="757" spans="1:10" x14ac:dyDescent="0.35">
      <c r="C757" s="2">
        <f t="shared" si="156"/>
        <v>46645</v>
      </c>
      <c r="D757" s="2">
        <f t="shared" si="157"/>
        <v>46827</v>
      </c>
      <c r="E757" s="2">
        <f t="shared" si="153"/>
        <v>47011</v>
      </c>
      <c r="F757">
        <f t="shared" si="158"/>
        <v>182</v>
      </c>
      <c r="G757">
        <f t="shared" si="154"/>
        <v>366</v>
      </c>
      <c r="I757" t="s">
        <v>105</v>
      </c>
      <c r="J757" s="4">
        <f t="shared" si="155"/>
        <v>13525.683060109292</v>
      </c>
    </row>
    <row r="758" spans="1:10" x14ac:dyDescent="0.35">
      <c r="C758" s="2"/>
      <c r="D758" s="2"/>
      <c r="E758" s="2"/>
    </row>
    <row r="759" spans="1:10" x14ac:dyDescent="0.35">
      <c r="C759" s="2"/>
      <c r="D759" s="2"/>
      <c r="E759" s="19" t="s">
        <v>100</v>
      </c>
      <c r="F759" s="22">
        <f>J752</f>
        <v>13711.780821917811</v>
      </c>
    </row>
    <row r="760" spans="1:10" x14ac:dyDescent="0.35">
      <c r="E760" s="19" t="s">
        <v>132</v>
      </c>
      <c r="F760" s="22">
        <f>J753</f>
        <v>13488.219178082194</v>
      </c>
    </row>
    <row r="761" spans="1:10" x14ac:dyDescent="0.35">
      <c r="C761" s="2"/>
      <c r="D761" s="2"/>
      <c r="E761" s="19" t="s">
        <v>102</v>
      </c>
      <c r="F761" s="22">
        <f t="shared" ref="F761:F764" si="159">J754</f>
        <v>13711.780821917811</v>
      </c>
    </row>
    <row r="762" spans="1:10" x14ac:dyDescent="0.35">
      <c r="C762" s="2"/>
      <c r="D762" s="2"/>
      <c r="E762" s="19" t="s">
        <v>103</v>
      </c>
      <c r="F762" s="22">
        <f t="shared" si="159"/>
        <v>13488.219178082194</v>
      </c>
    </row>
    <row r="763" spans="1:10" x14ac:dyDescent="0.35">
      <c r="E763" s="19" t="s">
        <v>104</v>
      </c>
      <c r="F763" s="22">
        <f t="shared" si="159"/>
        <v>13674.316939890712</v>
      </c>
    </row>
    <row r="764" spans="1:10" x14ac:dyDescent="0.35">
      <c r="E764" s="19" t="s">
        <v>105</v>
      </c>
      <c r="F764" s="22">
        <f t="shared" si="159"/>
        <v>13525.683060109292</v>
      </c>
    </row>
    <row r="766" spans="1:10" x14ac:dyDescent="0.35">
      <c r="A766">
        <v>53</v>
      </c>
      <c r="B766" t="s">
        <v>33</v>
      </c>
      <c r="C766" t="s">
        <v>82</v>
      </c>
      <c r="D766" s="1">
        <v>45474</v>
      </c>
    </row>
    <row r="767" spans="1:10" x14ac:dyDescent="0.35">
      <c r="C767" t="s">
        <v>83</v>
      </c>
      <c r="D767" s="2">
        <f>EDATE(D766,60)</f>
        <v>47300</v>
      </c>
    </row>
    <row r="768" spans="1:10" x14ac:dyDescent="0.35">
      <c r="C768" t="s">
        <v>89</v>
      </c>
      <c r="D768" t="s">
        <v>87</v>
      </c>
    </row>
    <row r="769" spans="1:10" x14ac:dyDescent="0.35">
      <c r="C769" t="s">
        <v>90</v>
      </c>
      <c r="D769" t="s">
        <v>86</v>
      </c>
    </row>
    <row r="770" spans="1:10" x14ac:dyDescent="0.35">
      <c r="C770" t="s">
        <v>133</v>
      </c>
      <c r="D770" t="s">
        <v>121</v>
      </c>
    </row>
    <row r="771" spans="1:10" x14ac:dyDescent="0.35">
      <c r="C771" t="s">
        <v>91</v>
      </c>
      <c r="D771" s="7">
        <v>10000000</v>
      </c>
    </row>
    <row r="772" spans="1:10" x14ac:dyDescent="0.35">
      <c r="C772" t="s">
        <v>92</v>
      </c>
      <c r="D772" s="3">
        <v>7.85E-2</v>
      </c>
    </row>
    <row r="773" spans="1:10" x14ac:dyDescent="0.35">
      <c r="C773" t="s">
        <v>93</v>
      </c>
      <c r="D773">
        <f>D767-D766</f>
        <v>1826</v>
      </c>
    </row>
    <row r="774" spans="1:10" x14ac:dyDescent="0.35">
      <c r="C774" t="s">
        <v>94</v>
      </c>
      <c r="D774">
        <v>3</v>
      </c>
    </row>
    <row r="776" spans="1:10" x14ac:dyDescent="0.35">
      <c r="C776" t="s">
        <v>95</v>
      </c>
      <c r="D776" t="s">
        <v>96</v>
      </c>
      <c r="E776" t="s">
        <v>97</v>
      </c>
      <c r="F776" t="s">
        <v>98</v>
      </c>
      <c r="G776" t="s">
        <v>99</v>
      </c>
    </row>
    <row r="777" spans="1:10" x14ac:dyDescent="0.35">
      <c r="C777" s="1">
        <f>D766</f>
        <v>45474</v>
      </c>
      <c r="D777" s="2">
        <f>EDATE(C777,6)</f>
        <v>45658</v>
      </c>
      <c r="E777" s="2">
        <f>EDATE(C777,12)</f>
        <v>45839</v>
      </c>
      <c r="F777">
        <f>D777-C777</f>
        <v>184</v>
      </c>
      <c r="G777">
        <f>E777-C777</f>
        <v>365</v>
      </c>
      <c r="I777" t="s">
        <v>100</v>
      </c>
      <c r="J777" s="4">
        <f>$D$771*$D$772*F777/G777</f>
        <v>395726.0273972603</v>
      </c>
    </row>
    <row r="778" spans="1:10" x14ac:dyDescent="0.35">
      <c r="C778" s="2"/>
      <c r="D778" s="2"/>
      <c r="E778" s="2"/>
      <c r="J778" s="4"/>
    </row>
    <row r="779" spans="1:10" x14ac:dyDescent="0.35">
      <c r="C779" s="2" t="s">
        <v>209</v>
      </c>
      <c r="D779" s="20">
        <f>J777</f>
        <v>395726.0273972603</v>
      </c>
      <c r="E779" s="2"/>
      <c r="J779" s="4"/>
    </row>
    <row r="781" spans="1:10" x14ac:dyDescent="0.35">
      <c r="A781">
        <v>54</v>
      </c>
      <c r="B781" t="s">
        <v>34</v>
      </c>
      <c r="C781" t="s">
        <v>82</v>
      </c>
      <c r="D781" s="1">
        <v>45566</v>
      </c>
    </row>
    <row r="782" spans="1:10" x14ac:dyDescent="0.35">
      <c r="C782" t="s">
        <v>83</v>
      </c>
      <c r="D782" s="2">
        <f>EDATE(D781,36)</f>
        <v>46661</v>
      </c>
    </row>
    <row r="783" spans="1:10" x14ac:dyDescent="0.35">
      <c r="C783" t="s">
        <v>89</v>
      </c>
      <c r="D783" t="s">
        <v>85</v>
      </c>
    </row>
    <row r="784" spans="1:10" x14ac:dyDescent="0.35">
      <c r="C784" t="s">
        <v>90</v>
      </c>
      <c r="D784" t="s">
        <v>86</v>
      </c>
    </row>
    <row r="785" spans="1:10" x14ac:dyDescent="0.35">
      <c r="C785" t="s">
        <v>133</v>
      </c>
      <c r="D785" t="s">
        <v>121</v>
      </c>
    </row>
    <row r="786" spans="1:10" x14ac:dyDescent="0.35">
      <c r="C786" t="s">
        <v>91</v>
      </c>
      <c r="D786" s="7">
        <v>500000</v>
      </c>
    </row>
    <row r="787" spans="1:10" x14ac:dyDescent="0.35">
      <c r="C787" t="s">
        <v>92</v>
      </c>
      <c r="D787" s="3">
        <v>0.08</v>
      </c>
    </row>
    <row r="788" spans="1:10" x14ac:dyDescent="0.35">
      <c r="C788" t="s">
        <v>93</v>
      </c>
      <c r="D788">
        <f>D782-D781</f>
        <v>1095</v>
      </c>
    </row>
    <row r="789" spans="1:10" x14ac:dyDescent="0.35">
      <c r="C789" t="s">
        <v>94</v>
      </c>
      <c r="D789">
        <v>3</v>
      </c>
    </row>
    <row r="791" spans="1:10" x14ac:dyDescent="0.35">
      <c r="C791" t="s">
        <v>95</v>
      </c>
      <c r="D791" t="s">
        <v>96</v>
      </c>
      <c r="E791" t="s">
        <v>97</v>
      </c>
      <c r="F791" t="s">
        <v>98</v>
      </c>
      <c r="G791" t="s">
        <v>99</v>
      </c>
    </row>
    <row r="792" spans="1:10" x14ac:dyDescent="0.35">
      <c r="C792" s="1">
        <f>D781</f>
        <v>45566</v>
      </c>
      <c r="D792" s="2">
        <f>EDATE(C792,6)</f>
        <v>45748</v>
      </c>
      <c r="E792" s="2">
        <f>EDATE(C792,12)</f>
        <v>45931</v>
      </c>
      <c r="F792">
        <f>D792-C792</f>
        <v>182</v>
      </c>
      <c r="G792">
        <f>E792-C792</f>
        <v>365</v>
      </c>
      <c r="I792" t="s">
        <v>100</v>
      </c>
      <c r="J792">
        <f>$D$786*$D$787*F792/G792</f>
        <v>19945.205479452055</v>
      </c>
    </row>
    <row r="793" spans="1:10" x14ac:dyDescent="0.35">
      <c r="C793" s="2">
        <f>D792</f>
        <v>45748</v>
      </c>
      <c r="D793" s="2">
        <f>EDATE(C793,6)</f>
        <v>45931</v>
      </c>
      <c r="E793" s="2">
        <f t="shared" ref="E793:E794" si="160">EDATE(C793,12)</f>
        <v>46113</v>
      </c>
      <c r="F793">
        <f t="shared" ref="F793:F794" si="161">D793-C793</f>
        <v>183</v>
      </c>
      <c r="G793">
        <f t="shared" ref="G793:G794" si="162">E793-C793</f>
        <v>365</v>
      </c>
      <c r="I793" t="s">
        <v>132</v>
      </c>
      <c r="J793">
        <f>$D$786*$D$787*F793/G793</f>
        <v>20054.794520547945</v>
      </c>
    </row>
    <row r="794" spans="1:10" x14ac:dyDescent="0.35">
      <c r="C794" s="2">
        <f t="shared" ref="C794" si="163">D793</f>
        <v>45931</v>
      </c>
      <c r="D794" s="2">
        <f t="shared" ref="D794" si="164">EDATE(C794,6)</f>
        <v>46113</v>
      </c>
      <c r="E794" s="2">
        <f t="shared" si="160"/>
        <v>46296</v>
      </c>
      <c r="F794">
        <f t="shared" si="161"/>
        <v>182</v>
      </c>
      <c r="G794">
        <f t="shared" si="162"/>
        <v>365</v>
      </c>
      <c r="I794" t="s">
        <v>102</v>
      </c>
      <c r="J794">
        <f>$D$786*$D$787*F794/G794</f>
        <v>19945.205479452055</v>
      </c>
    </row>
    <row r="795" spans="1:10" x14ac:dyDescent="0.35">
      <c r="C795" s="2"/>
      <c r="D795" s="2"/>
      <c r="E795" s="2"/>
    </row>
    <row r="796" spans="1:10" x14ac:dyDescent="0.35">
      <c r="C796" s="2" t="s">
        <v>138</v>
      </c>
      <c r="D796" s="2"/>
      <c r="E796" s="19">
        <f>J794</f>
        <v>19945.205479452055</v>
      </c>
    </row>
    <row r="797" spans="1:10" x14ac:dyDescent="0.35">
      <c r="C797" s="2"/>
      <c r="D797" s="2"/>
      <c r="E797" s="2"/>
    </row>
    <row r="798" spans="1:10" x14ac:dyDescent="0.35">
      <c r="C798" s="2"/>
      <c r="D798" s="2"/>
      <c r="E798" s="2"/>
      <c r="J798" s="4"/>
    </row>
    <row r="799" spans="1:10" x14ac:dyDescent="0.35">
      <c r="A799">
        <v>55</v>
      </c>
      <c r="B799" t="s">
        <v>35</v>
      </c>
      <c r="C799" t="s">
        <v>82</v>
      </c>
      <c r="D799" s="1">
        <v>45809</v>
      </c>
    </row>
    <row r="800" spans="1:10" x14ac:dyDescent="0.35">
      <c r="C800" t="s">
        <v>83</v>
      </c>
      <c r="D800" s="2">
        <f>D799+400</f>
        <v>46209</v>
      </c>
    </row>
    <row r="801" spans="3:10" x14ac:dyDescent="0.35">
      <c r="C801" t="s">
        <v>89</v>
      </c>
      <c r="D801" t="s">
        <v>85</v>
      </c>
    </row>
    <row r="802" spans="3:10" x14ac:dyDescent="0.35">
      <c r="C802" t="s">
        <v>90</v>
      </c>
      <c r="D802" t="s">
        <v>84</v>
      </c>
    </row>
    <row r="803" spans="3:10" x14ac:dyDescent="0.35">
      <c r="C803" t="s">
        <v>133</v>
      </c>
      <c r="D803" t="s">
        <v>121</v>
      </c>
    </row>
    <row r="804" spans="3:10" x14ac:dyDescent="0.35">
      <c r="C804" t="s">
        <v>91</v>
      </c>
      <c r="D804" s="7">
        <v>125000</v>
      </c>
    </row>
    <row r="805" spans="3:10" x14ac:dyDescent="0.35">
      <c r="C805" t="s">
        <v>92</v>
      </c>
      <c r="D805" s="3">
        <v>7.1999999999999995E-2</v>
      </c>
    </row>
    <row r="806" spans="3:10" x14ac:dyDescent="0.35">
      <c r="C806" t="s">
        <v>93</v>
      </c>
      <c r="D806">
        <f>D800-D799</f>
        <v>400</v>
      </c>
    </row>
    <row r="807" spans="3:10" x14ac:dyDescent="0.35">
      <c r="C807" t="s">
        <v>94</v>
      </c>
      <c r="D807">
        <f>400/365</f>
        <v>1.095890410958904</v>
      </c>
    </row>
    <row r="809" spans="3:10" x14ac:dyDescent="0.35">
      <c r="C809" t="s">
        <v>95</v>
      </c>
      <c r="D809" t="s">
        <v>96</v>
      </c>
      <c r="E809" t="s">
        <v>97</v>
      </c>
      <c r="F809" t="s">
        <v>98</v>
      </c>
      <c r="G809" t="s">
        <v>99</v>
      </c>
    </row>
    <row r="810" spans="3:10" x14ac:dyDescent="0.35">
      <c r="C810" s="1">
        <f>D799</f>
        <v>45809</v>
      </c>
      <c r="D810" s="2">
        <f>EDATE(C810,6)</f>
        <v>45992</v>
      </c>
      <c r="E810" s="2">
        <f>EDATE(C810,12)</f>
        <v>46174</v>
      </c>
      <c r="F810">
        <f>D810-C810</f>
        <v>183</v>
      </c>
      <c r="G810">
        <f>E810-C810</f>
        <v>365</v>
      </c>
      <c r="I810" t="s">
        <v>100</v>
      </c>
      <c r="J810">
        <f>$D$804*$D$805*F810/G810</f>
        <v>4512.3287671232874</v>
      </c>
    </row>
    <row r="811" spans="3:10" x14ac:dyDescent="0.35">
      <c r="C811" s="2">
        <f>D810</f>
        <v>45992</v>
      </c>
      <c r="D811" s="2">
        <f>EDATE(C811,6)</f>
        <v>46174</v>
      </c>
      <c r="E811" s="2">
        <f t="shared" ref="E811:E812" si="165">EDATE(C811,12)</f>
        <v>46357</v>
      </c>
      <c r="F811">
        <f t="shared" ref="F811:F812" si="166">D811-C811</f>
        <v>182</v>
      </c>
      <c r="G811">
        <f t="shared" ref="G811:G812" si="167">E811-C811</f>
        <v>365</v>
      </c>
      <c r="I811" t="s">
        <v>132</v>
      </c>
      <c r="J811">
        <f t="shared" ref="J811:J812" si="168">$D$804*$D$805*F811/G811</f>
        <v>4487.6712328767126</v>
      </c>
    </row>
    <row r="812" spans="3:10" x14ac:dyDescent="0.35">
      <c r="C812" s="2">
        <f t="shared" ref="C812" si="169">D811</f>
        <v>46174</v>
      </c>
      <c r="D812" s="2">
        <f>C810+400</f>
        <v>46209</v>
      </c>
      <c r="E812" s="2">
        <f t="shared" si="165"/>
        <v>46539</v>
      </c>
      <c r="F812">
        <f t="shared" si="166"/>
        <v>35</v>
      </c>
      <c r="G812">
        <f t="shared" si="167"/>
        <v>365</v>
      </c>
      <c r="I812" t="s">
        <v>102</v>
      </c>
      <c r="J812">
        <f t="shared" si="168"/>
        <v>863.01369863013701</v>
      </c>
    </row>
    <row r="813" spans="3:10" x14ac:dyDescent="0.35">
      <c r="C813" s="2"/>
      <c r="D813" s="2"/>
      <c r="E813" s="2"/>
    </row>
    <row r="814" spans="3:10" x14ac:dyDescent="0.35">
      <c r="C814" s="2"/>
      <c r="D814" s="2" t="s">
        <v>210</v>
      </c>
      <c r="E814" s="2"/>
      <c r="F814" s="24" t="s">
        <v>100</v>
      </c>
      <c r="G814" s="34">
        <f>J810</f>
        <v>4512.3287671232874</v>
      </c>
    </row>
    <row r="815" spans="3:10" x14ac:dyDescent="0.35">
      <c r="C815" s="2"/>
      <c r="D815" s="2"/>
      <c r="E815" s="2"/>
      <c r="F815" s="24" t="s">
        <v>132</v>
      </c>
      <c r="G815" s="34">
        <f t="shared" ref="G815" si="170">J811</f>
        <v>4487.6712328767126</v>
      </c>
    </row>
    <row r="816" spans="3:10" x14ac:dyDescent="0.35">
      <c r="C816" s="2"/>
      <c r="D816" s="2"/>
      <c r="E816" s="2"/>
      <c r="F816" s="24" t="s">
        <v>102</v>
      </c>
      <c r="G816" s="34">
        <f>J812+D804</f>
        <v>125863.01369863014</v>
      </c>
    </row>
    <row r="817" spans="1:5" x14ac:dyDescent="0.35">
      <c r="C817" s="2"/>
      <c r="D817" s="2"/>
      <c r="E817" s="2"/>
    </row>
    <row r="818" spans="1:5" x14ac:dyDescent="0.35">
      <c r="C818" s="2"/>
      <c r="D818" s="2"/>
      <c r="E818" s="2"/>
    </row>
    <row r="820" spans="1:5" x14ac:dyDescent="0.35">
      <c r="A820">
        <v>56</v>
      </c>
      <c r="B820" t="s">
        <v>36</v>
      </c>
      <c r="C820" t="s">
        <v>82</v>
      </c>
      <c r="D820" s="1">
        <v>45748</v>
      </c>
    </row>
    <row r="821" spans="1:5" x14ac:dyDescent="0.35">
      <c r="C821" t="s">
        <v>83</v>
      </c>
      <c r="D821" s="2">
        <f>EDATE(D820,24)</f>
        <v>46478</v>
      </c>
    </row>
    <row r="822" spans="1:5" x14ac:dyDescent="0.35">
      <c r="C822" t="s">
        <v>89</v>
      </c>
      <c r="D822" t="s">
        <v>85</v>
      </c>
    </row>
    <row r="823" spans="1:5" x14ac:dyDescent="0.35">
      <c r="C823" t="s">
        <v>90</v>
      </c>
      <c r="D823" t="s">
        <v>84</v>
      </c>
    </row>
    <row r="824" spans="1:5" x14ac:dyDescent="0.35">
      <c r="C824" t="s">
        <v>133</v>
      </c>
      <c r="D824" t="s">
        <v>211</v>
      </c>
    </row>
    <row r="825" spans="1:5" x14ac:dyDescent="0.35">
      <c r="C825" t="s">
        <v>91</v>
      </c>
      <c r="D825" s="7">
        <v>100000</v>
      </c>
    </row>
    <row r="826" spans="1:5" x14ac:dyDescent="0.35">
      <c r="C826" t="s">
        <v>92</v>
      </c>
      <c r="D826" s="3">
        <v>6.9500000000000006E-2</v>
      </c>
    </row>
    <row r="827" spans="1:5" x14ac:dyDescent="0.35">
      <c r="C827" t="s">
        <v>93</v>
      </c>
      <c r="D827">
        <f>D821-D820</f>
        <v>730</v>
      </c>
    </row>
    <row r="828" spans="1:5" x14ac:dyDescent="0.35">
      <c r="C828" t="s">
        <v>94</v>
      </c>
      <c r="D828">
        <v>2</v>
      </c>
    </row>
    <row r="830" spans="1:5" x14ac:dyDescent="0.35">
      <c r="C830" t="s">
        <v>95</v>
      </c>
      <c r="D830" t="s">
        <v>96</v>
      </c>
    </row>
    <row r="831" spans="1:5" x14ac:dyDescent="0.35">
      <c r="C831" s="1">
        <f>D820</f>
        <v>45748</v>
      </c>
      <c r="D831" s="2">
        <f>D821</f>
        <v>46478</v>
      </c>
    </row>
    <row r="833" spans="1:10" x14ac:dyDescent="0.35">
      <c r="C833" t="s">
        <v>212</v>
      </c>
      <c r="D833">
        <f>(1+D826/4)^(4*D828)</f>
        <v>1.1477531461860282</v>
      </c>
    </row>
    <row r="834" spans="1:10" x14ac:dyDescent="0.35">
      <c r="C834" t="s">
        <v>213</v>
      </c>
      <c r="D834" s="4">
        <f>D825*D833</f>
        <v>114775.31461860282</v>
      </c>
    </row>
    <row r="835" spans="1:10" x14ac:dyDescent="0.35">
      <c r="C835" t="s">
        <v>214</v>
      </c>
      <c r="D835" s="4">
        <f>D834-D825</f>
        <v>14775.314618602817</v>
      </c>
    </row>
    <row r="837" spans="1:10" x14ac:dyDescent="0.35">
      <c r="C837" t="s">
        <v>215</v>
      </c>
      <c r="D837" s="35">
        <f>D834</f>
        <v>114775.31461860282</v>
      </c>
    </row>
    <row r="840" spans="1:10" x14ac:dyDescent="0.35">
      <c r="A840">
        <v>57</v>
      </c>
      <c r="B840" t="s">
        <v>37</v>
      </c>
      <c r="C840" t="s">
        <v>82</v>
      </c>
      <c r="D840" s="1">
        <v>45351</v>
      </c>
    </row>
    <row r="841" spans="1:10" x14ac:dyDescent="0.35">
      <c r="C841" t="s">
        <v>83</v>
      </c>
      <c r="D841" s="2">
        <f>EDATE(D840,36)</f>
        <v>46446</v>
      </c>
    </row>
    <row r="842" spans="1:10" x14ac:dyDescent="0.35">
      <c r="C842" t="s">
        <v>89</v>
      </c>
      <c r="D842" t="s">
        <v>85</v>
      </c>
    </row>
    <row r="843" spans="1:10" x14ac:dyDescent="0.35">
      <c r="C843" t="s">
        <v>90</v>
      </c>
      <c r="D843" t="s">
        <v>84</v>
      </c>
    </row>
    <row r="844" spans="1:10" x14ac:dyDescent="0.35">
      <c r="C844" t="s">
        <v>133</v>
      </c>
      <c r="D844" t="s">
        <v>211</v>
      </c>
    </row>
    <row r="845" spans="1:10" x14ac:dyDescent="0.35">
      <c r="C845" t="s">
        <v>91</v>
      </c>
      <c r="D845" s="7">
        <v>200000</v>
      </c>
    </row>
    <row r="846" spans="1:10" x14ac:dyDescent="0.35">
      <c r="C846" t="s">
        <v>92</v>
      </c>
      <c r="D846" s="3">
        <v>7.4999999999999997E-2</v>
      </c>
    </row>
    <row r="847" spans="1:10" x14ac:dyDescent="0.35">
      <c r="C847" t="s">
        <v>93</v>
      </c>
      <c r="D847">
        <f>D841-D840</f>
        <v>1095</v>
      </c>
      <c r="J847" s="7"/>
    </row>
    <row r="848" spans="1:10" x14ac:dyDescent="0.35">
      <c r="C848" t="s">
        <v>94</v>
      </c>
      <c r="D848">
        <v>3</v>
      </c>
    </row>
    <row r="850" spans="1:4" x14ac:dyDescent="0.35">
      <c r="C850" t="s">
        <v>95</v>
      </c>
      <c r="D850" t="s">
        <v>96</v>
      </c>
    </row>
    <row r="851" spans="1:4" x14ac:dyDescent="0.35">
      <c r="C851" s="1">
        <f>D840</f>
        <v>45351</v>
      </c>
      <c r="D851" s="2">
        <f>D841</f>
        <v>46446</v>
      </c>
    </row>
    <row r="853" spans="1:4" x14ac:dyDescent="0.35">
      <c r="C853" t="s">
        <v>212</v>
      </c>
      <c r="D853">
        <f>(1+D846/4)^(4*D848)</f>
        <v>1.2497163766330226</v>
      </c>
    </row>
    <row r="854" spans="1:4" x14ac:dyDescent="0.35">
      <c r="C854" t="s">
        <v>213</v>
      </c>
      <c r="D854" s="4">
        <f>D845*D853</f>
        <v>249943.27532660452</v>
      </c>
    </row>
    <row r="855" spans="1:4" x14ac:dyDescent="0.35">
      <c r="C855" t="s">
        <v>214</v>
      </c>
      <c r="D855" s="4">
        <f>D854-D845</f>
        <v>49943.275326604518</v>
      </c>
    </row>
    <row r="857" spans="1:4" x14ac:dyDescent="0.35">
      <c r="C857" s="33" t="s">
        <v>216</v>
      </c>
      <c r="D857" s="36">
        <f>D851</f>
        <v>46446</v>
      </c>
    </row>
    <row r="858" spans="1:4" x14ac:dyDescent="0.35">
      <c r="C858" s="33" t="s">
        <v>213</v>
      </c>
      <c r="D858" s="35">
        <f>D854</f>
        <v>249943.27532660452</v>
      </c>
    </row>
    <row r="860" spans="1:4" x14ac:dyDescent="0.35">
      <c r="A860">
        <v>58</v>
      </c>
      <c r="B860" t="s">
        <v>38</v>
      </c>
    </row>
    <row r="861" spans="1:4" x14ac:dyDescent="0.35">
      <c r="C861" t="s">
        <v>82</v>
      </c>
      <c r="D861" s="2">
        <v>45688</v>
      </c>
    </row>
    <row r="862" spans="1:4" x14ac:dyDescent="0.35">
      <c r="C862" t="s">
        <v>83</v>
      </c>
      <c r="D862" s="2">
        <f>EDATE(D861,12)</f>
        <v>46053</v>
      </c>
    </row>
    <row r="863" spans="1:4" x14ac:dyDescent="0.35">
      <c r="C863" t="s">
        <v>89</v>
      </c>
      <c r="D863" t="s">
        <v>85</v>
      </c>
    </row>
    <row r="864" spans="1:4" x14ac:dyDescent="0.35">
      <c r="C864" t="s">
        <v>90</v>
      </c>
      <c r="D864" t="s">
        <v>86</v>
      </c>
    </row>
    <row r="865" spans="1:10" x14ac:dyDescent="0.35">
      <c r="C865" t="s">
        <v>133</v>
      </c>
      <c r="D865" t="s">
        <v>211</v>
      </c>
    </row>
    <row r="866" spans="1:10" x14ac:dyDescent="0.35">
      <c r="C866" t="s">
        <v>91</v>
      </c>
      <c r="D866" s="7">
        <v>75000</v>
      </c>
    </row>
    <row r="867" spans="1:10" x14ac:dyDescent="0.35">
      <c r="C867" t="s">
        <v>92</v>
      </c>
      <c r="D867" s="3">
        <v>7.2499999999999995E-2</v>
      </c>
    </row>
    <row r="868" spans="1:10" x14ac:dyDescent="0.35">
      <c r="C868" t="s">
        <v>93</v>
      </c>
      <c r="D868">
        <f>D862-D861</f>
        <v>365</v>
      </c>
    </row>
    <row r="869" spans="1:10" x14ac:dyDescent="0.35">
      <c r="C869" t="s">
        <v>94</v>
      </c>
      <c r="D869">
        <v>1</v>
      </c>
    </row>
    <row r="871" spans="1:10" x14ac:dyDescent="0.35">
      <c r="C871" t="s">
        <v>95</v>
      </c>
      <c r="D871" t="s">
        <v>96</v>
      </c>
      <c r="J871" s="7"/>
    </row>
    <row r="872" spans="1:10" x14ac:dyDescent="0.35">
      <c r="C872" s="1">
        <f>D861</f>
        <v>45688</v>
      </c>
      <c r="D872" s="2">
        <f>D862</f>
        <v>46053</v>
      </c>
    </row>
    <row r="874" spans="1:10" x14ac:dyDescent="0.35">
      <c r="C874" t="s">
        <v>212</v>
      </c>
      <c r="D874">
        <f>(1+D867/4)^(4*D869)</f>
        <v>1.074495019055328</v>
      </c>
    </row>
    <row r="875" spans="1:10" x14ac:dyDescent="0.35">
      <c r="C875" t="s">
        <v>213</v>
      </c>
      <c r="D875" s="4">
        <f>D866*D874</f>
        <v>80587.12642914959</v>
      </c>
    </row>
    <row r="876" spans="1:10" x14ac:dyDescent="0.35">
      <c r="C876" t="s">
        <v>214</v>
      </c>
      <c r="D876" s="4">
        <f>D875-D866</f>
        <v>5587.12642914959</v>
      </c>
    </row>
    <row r="878" spans="1:10" x14ac:dyDescent="0.35">
      <c r="C878" s="33" t="s">
        <v>213</v>
      </c>
      <c r="D878" s="35">
        <f>D875</f>
        <v>80587.12642914959</v>
      </c>
    </row>
    <row r="880" spans="1:10" x14ac:dyDescent="0.35">
      <c r="A880">
        <v>59</v>
      </c>
      <c r="B880" t="s">
        <v>39</v>
      </c>
      <c r="C880" t="s">
        <v>82</v>
      </c>
      <c r="D880" s="1">
        <v>45792</v>
      </c>
    </row>
    <row r="881" spans="3:4" x14ac:dyDescent="0.35">
      <c r="C881" t="s">
        <v>83</v>
      </c>
      <c r="D881" s="2">
        <f>EDATE(D880,18)</f>
        <v>46341</v>
      </c>
    </row>
    <row r="882" spans="3:4" x14ac:dyDescent="0.35">
      <c r="C882" t="s">
        <v>89</v>
      </c>
      <c r="D882" t="s">
        <v>85</v>
      </c>
    </row>
    <row r="883" spans="3:4" x14ac:dyDescent="0.35">
      <c r="C883" t="s">
        <v>90</v>
      </c>
      <c r="D883" t="s">
        <v>84</v>
      </c>
    </row>
    <row r="884" spans="3:4" x14ac:dyDescent="0.35">
      <c r="C884" t="s">
        <v>133</v>
      </c>
      <c r="D884" t="s">
        <v>211</v>
      </c>
    </row>
    <row r="885" spans="3:4" x14ac:dyDescent="0.35">
      <c r="C885" t="s">
        <v>91</v>
      </c>
      <c r="D885" s="7">
        <v>500000</v>
      </c>
    </row>
    <row r="886" spans="3:4" x14ac:dyDescent="0.35">
      <c r="C886" t="s">
        <v>92</v>
      </c>
      <c r="D886" s="3">
        <v>6.7500000000000004E-2</v>
      </c>
    </row>
    <row r="887" spans="3:4" x14ac:dyDescent="0.35">
      <c r="C887" t="s">
        <v>93</v>
      </c>
      <c r="D887">
        <f>D881-D880</f>
        <v>549</v>
      </c>
    </row>
    <row r="888" spans="3:4" x14ac:dyDescent="0.35">
      <c r="C888" t="s">
        <v>94</v>
      </c>
      <c r="D888">
        <f>D887/365</f>
        <v>1.5041095890410958</v>
      </c>
    </row>
    <row r="890" spans="3:4" x14ac:dyDescent="0.35">
      <c r="C890" t="s">
        <v>95</v>
      </c>
      <c r="D890" t="s">
        <v>96</v>
      </c>
    </row>
    <row r="891" spans="3:4" x14ac:dyDescent="0.35">
      <c r="C891" s="1">
        <f>D880</f>
        <v>45792</v>
      </c>
      <c r="D891" s="2">
        <f>D881</f>
        <v>46341</v>
      </c>
    </row>
    <row r="893" spans="3:4" x14ac:dyDescent="0.35">
      <c r="C893" t="s">
        <v>212</v>
      </c>
      <c r="D893">
        <f>(1+D886/4)^(6)</f>
        <v>1.1056188173789576</v>
      </c>
    </row>
    <row r="894" spans="3:4" x14ac:dyDescent="0.35">
      <c r="C894" t="s">
        <v>213</v>
      </c>
      <c r="D894" s="4">
        <f>D885*D893</f>
        <v>552809.40868947876</v>
      </c>
    </row>
    <row r="895" spans="3:4" x14ac:dyDescent="0.35">
      <c r="C895" t="s">
        <v>214</v>
      </c>
      <c r="D895" s="4">
        <f>D894-D885</f>
        <v>52809.408689478762</v>
      </c>
    </row>
    <row r="897" spans="1:4" x14ac:dyDescent="0.35">
      <c r="C897" s="33" t="s">
        <v>217</v>
      </c>
      <c r="D897" s="35">
        <f>D894</f>
        <v>552809.40868947876</v>
      </c>
    </row>
    <row r="899" spans="1:4" x14ac:dyDescent="0.35">
      <c r="A899">
        <v>60</v>
      </c>
      <c r="B899" t="s">
        <v>40</v>
      </c>
      <c r="C899" t="s">
        <v>82</v>
      </c>
      <c r="D899" s="1">
        <v>45689</v>
      </c>
    </row>
    <row r="900" spans="1:4" x14ac:dyDescent="0.35">
      <c r="C900" t="s">
        <v>83</v>
      </c>
      <c r="D900" s="2">
        <f>EDATE(D899,12)</f>
        <v>46054</v>
      </c>
    </row>
    <row r="901" spans="1:4" x14ac:dyDescent="0.35">
      <c r="C901" t="s">
        <v>89</v>
      </c>
      <c r="D901" t="s">
        <v>85</v>
      </c>
    </row>
    <row r="902" spans="1:4" x14ac:dyDescent="0.35">
      <c r="C902" t="s">
        <v>90</v>
      </c>
      <c r="D902" t="s">
        <v>84</v>
      </c>
    </row>
    <row r="903" spans="1:4" x14ac:dyDescent="0.35">
      <c r="C903" t="s">
        <v>133</v>
      </c>
      <c r="D903" t="s">
        <v>211</v>
      </c>
    </row>
    <row r="904" spans="1:4" x14ac:dyDescent="0.35">
      <c r="C904" t="s">
        <v>91</v>
      </c>
      <c r="D904" s="7">
        <v>300000</v>
      </c>
    </row>
    <row r="905" spans="1:4" x14ac:dyDescent="0.35">
      <c r="C905" t="s">
        <v>92</v>
      </c>
      <c r="D905" s="3">
        <v>6.7500000000000004E-2</v>
      </c>
    </row>
    <row r="906" spans="1:4" x14ac:dyDescent="0.35">
      <c r="C906" t="s">
        <v>93</v>
      </c>
      <c r="D906">
        <f>D900-D899</f>
        <v>365</v>
      </c>
    </row>
    <row r="907" spans="1:4" x14ac:dyDescent="0.35">
      <c r="C907" t="s">
        <v>94</v>
      </c>
      <c r="D907">
        <v>1</v>
      </c>
    </row>
    <row r="909" spans="1:4" x14ac:dyDescent="0.35">
      <c r="C909" t="s">
        <v>95</v>
      </c>
      <c r="D909" t="s">
        <v>96</v>
      </c>
    </row>
    <row r="910" spans="1:4" x14ac:dyDescent="0.35">
      <c r="C910" s="1">
        <f>D899</f>
        <v>45689</v>
      </c>
      <c r="D910" s="2">
        <f>D900</f>
        <v>46054</v>
      </c>
    </row>
    <row r="912" spans="1:4" x14ac:dyDescent="0.35">
      <c r="C912" t="s">
        <v>212</v>
      </c>
      <c r="D912">
        <f>(1+D905/4)^(4*D907)</f>
        <v>1.0692278965211486</v>
      </c>
    </row>
    <row r="913" spans="1:4" x14ac:dyDescent="0.35">
      <c r="C913" t="s">
        <v>213</v>
      </c>
      <c r="D913" s="4">
        <f>D904*D912</f>
        <v>320768.36895634455</v>
      </c>
    </row>
    <row r="914" spans="1:4" x14ac:dyDescent="0.35">
      <c r="C914" t="s">
        <v>214</v>
      </c>
      <c r="D914" s="4">
        <f>D913-D904</f>
        <v>20768.368956344551</v>
      </c>
    </row>
    <row r="916" spans="1:4" x14ac:dyDescent="0.35">
      <c r="C916" t="s">
        <v>218</v>
      </c>
      <c r="D916" s="35">
        <f>D913</f>
        <v>320768.36895634455</v>
      </c>
    </row>
    <row r="919" spans="1:4" x14ac:dyDescent="0.35">
      <c r="A919">
        <v>61</v>
      </c>
      <c r="B919" t="s">
        <v>41</v>
      </c>
      <c r="C919" t="s">
        <v>82</v>
      </c>
      <c r="D919" s="1">
        <v>45352</v>
      </c>
    </row>
    <row r="920" spans="1:4" x14ac:dyDescent="0.35">
      <c r="C920" t="s">
        <v>83</v>
      </c>
      <c r="D920" s="2">
        <f>EDATE(D919,60)</f>
        <v>47178</v>
      </c>
    </row>
    <row r="921" spans="1:4" x14ac:dyDescent="0.35">
      <c r="C921" t="s">
        <v>89</v>
      </c>
      <c r="D921" t="s">
        <v>87</v>
      </c>
    </row>
    <row r="922" spans="1:4" x14ac:dyDescent="0.35">
      <c r="C922" t="s">
        <v>90</v>
      </c>
      <c r="D922" t="s">
        <v>86</v>
      </c>
    </row>
    <row r="923" spans="1:4" x14ac:dyDescent="0.35">
      <c r="C923" t="s">
        <v>133</v>
      </c>
      <c r="D923" t="s">
        <v>211</v>
      </c>
    </row>
    <row r="924" spans="1:4" x14ac:dyDescent="0.35">
      <c r="C924" t="s">
        <v>91</v>
      </c>
      <c r="D924" s="7">
        <v>1000000</v>
      </c>
    </row>
    <row r="925" spans="1:4" x14ac:dyDescent="0.35">
      <c r="C925" t="s">
        <v>92</v>
      </c>
      <c r="D925" s="3">
        <v>7.85E-2</v>
      </c>
    </row>
    <row r="926" spans="1:4" x14ac:dyDescent="0.35">
      <c r="C926" t="s">
        <v>93</v>
      </c>
      <c r="D926">
        <f>D920-D919</f>
        <v>1826</v>
      </c>
    </row>
    <row r="927" spans="1:4" x14ac:dyDescent="0.35">
      <c r="C927" t="s">
        <v>94</v>
      </c>
      <c r="D927">
        <v>5</v>
      </c>
    </row>
    <row r="929" spans="1:4" x14ac:dyDescent="0.35">
      <c r="C929" t="s">
        <v>95</v>
      </c>
      <c r="D929" t="s">
        <v>96</v>
      </c>
    </row>
    <row r="930" spans="1:4" x14ac:dyDescent="0.35">
      <c r="C930" s="1">
        <f>D919</f>
        <v>45352</v>
      </c>
      <c r="D930" s="2">
        <f>D920</f>
        <v>47178</v>
      </c>
    </row>
    <row r="932" spans="1:4" x14ac:dyDescent="0.35">
      <c r="C932" t="s">
        <v>212</v>
      </c>
      <c r="D932">
        <f>(1+D925/4)^(4*D927)</f>
        <v>1.4750593890916208</v>
      </c>
    </row>
    <row r="933" spans="1:4" x14ac:dyDescent="0.35">
      <c r="C933" t="s">
        <v>213</v>
      </c>
      <c r="D933" s="4">
        <f>D924*D932</f>
        <v>1475059.3890916209</v>
      </c>
    </row>
    <row r="934" spans="1:4" x14ac:dyDescent="0.35">
      <c r="C934" t="s">
        <v>214</v>
      </c>
      <c r="D934" s="4">
        <f>D933-D924</f>
        <v>475059.38909162092</v>
      </c>
    </row>
    <row r="936" spans="1:4" x14ac:dyDescent="0.35">
      <c r="C936" t="s">
        <v>213</v>
      </c>
      <c r="D936" s="35">
        <f>D933</f>
        <v>1475059.3890916209</v>
      </c>
    </row>
    <row r="939" spans="1:4" x14ac:dyDescent="0.35">
      <c r="A939">
        <v>62</v>
      </c>
      <c r="B939" t="s">
        <v>42</v>
      </c>
      <c r="C939" t="s">
        <v>82</v>
      </c>
      <c r="D939" s="1">
        <v>45658</v>
      </c>
    </row>
    <row r="940" spans="1:4" x14ac:dyDescent="0.35">
      <c r="C940" t="s">
        <v>83</v>
      </c>
      <c r="D940" s="2">
        <f>EDATE(D939,36)</f>
        <v>46753</v>
      </c>
    </row>
    <row r="941" spans="1:4" x14ac:dyDescent="0.35">
      <c r="C941" t="s">
        <v>89</v>
      </c>
      <c r="D941" t="s">
        <v>85</v>
      </c>
    </row>
    <row r="942" spans="1:4" x14ac:dyDescent="0.35">
      <c r="C942" t="s">
        <v>90</v>
      </c>
      <c r="D942" t="s">
        <v>86</v>
      </c>
    </row>
    <row r="943" spans="1:4" x14ac:dyDescent="0.35">
      <c r="C943" t="s">
        <v>133</v>
      </c>
      <c r="D943" t="s">
        <v>211</v>
      </c>
    </row>
    <row r="944" spans="1:4" x14ac:dyDescent="0.35">
      <c r="C944" t="s">
        <v>91</v>
      </c>
      <c r="D944" s="7">
        <v>50000000</v>
      </c>
    </row>
    <row r="945" spans="1:4" x14ac:dyDescent="0.35">
      <c r="C945" t="s">
        <v>92</v>
      </c>
      <c r="D945" s="3">
        <v>7.0499999999999993E-2</v>
      </c>
    </row>
    <row r="946" spans="1:4" x14ac:dyDescent="0.35">
      <c r="C946" t="s">
        <v>93</v>
      </c>
      <c r="D946">
        <f>D940-D939</f>
        <v>1095</v>
      </c>
    </row>
    <row r="947" spans="1:4" x14ac:dyDescent="0.35">
      <c r="C947" t="s">
        <v>94</v>
      </c>
      <c r="D947">
        <v>3</v>
      </c>
    </row>
    <row r="949" spans="1:4" x14ac:dyDescent="0.35">
      <c r="C949" t="s">
        <v>95</v>
      </c>
      <c r="D949" t="s">
        <v>96</v>
      </c>
    </row>
    <row r="950" spans="1:4" x14ac:dyDescent="0.35">
      <c r="C950" s="1">
        <f>D939</f>
        <v>45658</v>
      </c>
      <c r="D950" s="2">
        <f>D940</f>
        <v>46753</v>
      </c>
    </row>
    <row r="952" spans="1:4" x14ac:dyDescent="0.35">
      <c r="C952" t="s">
        <v>212</v>
      </c>
      <c r="D952">
        <f>(1+D945/4)^(4*D947)</f>
        <v>1.2332559317153415</v>
      </c>
    </row>
    <row r="953" spans="1:4" x14ac:dyDescent="0.35">
      <c r="C953" t="s">
        <v>213</v>
      </c>
      <c r="D953" s="4">
        <f>D944*D952</f>
        <v>61662796.585767075</v>
      </c>
    </row>
    <row r="954" spans="1:4" x14ac:dyDescent="0.35">
      <c r="C954" t="s">
        <v>214</v>
      </c>
      <c r="D954" s="4">
        <f>D953-D944</f>
        <v>11662796.585767075</v>
      </c>
    </row>
    <row r="956" spans="1:4" x14ac:dyDescent="0.35">
      <c r="C956" s="33" t="s">
        <v>219</v>
      </c>
      <c r="D956" s="35">
        <f>D953</f>
        <v>61662796.585767075</v>
      </c>
    </row>
    <row r="959" spans="1:4" x14ac:dyDescent="0.35">
      <c r="A959">
        <v>63</v>
      </c>
      <c r="B959" t="s">
        <v>43</v>
      </c>
      <c r="C959" t="s">
        <v>82</v>
      </c>
      <c r="D959" s="1">
        <v>45809</v>
      </c>
    </row>
    <row r="960" spans="1:4" x14ac:dyDescent="0.35">
      <c r="C960" t="s">
        <v>83</v>
      </c>
      <c r="D960" s="2">
        <f>EDATE(D959,24)</f>
        <v>46539</v>
      </c>
    </row>
    <row r="961" spans="3:4" x14ac:dyDescent="0.35">
      <c r="C961" t="s">
        <v>89</v>
      </c>
      <c r="D961" t="s">
        <v>85</v>
      </c>
    </row>
    <row r="962" spans="3:4" x14ac:dyDescent="0.35">
      <c r="C962" t="s">
        <v>90</v>
      </c>
      <c r="D962" t="s">
        <v>84</v>
      </c>
    </row>
    <row r="963" spans="3:4" x14ac:dyDescent="0.35">
      <c r="C963" t="s">
        <v>133</v>
      </c>
      <c r="D963" t="s">
        <v>211</v>
      </c>
    </row>
    <row r="964" spans="3:4" x14ac:dyDescent="0.35">
      <c r="C964" t="s">
        <v>91</v>
      </c>
      <c r="D964" s="7">
        <v>250000</v>
      </c>
    </row>
    <row r="965" spans="3:4" x14ac:dyDescent="0.35">
      <c r="C965" t="s">
        <v>92</v>
      </c>
      <c r="D965" s="3">
        <v>6.9500000000000006E-2</v>
      </c>
    </row>
    <row r="966" spans="3:4" x14ac:dyDescent="0.35">
      <c r="C966" t="s">
        <v>93</v>
      </c>
      <c r="D966">
        <f>D960-D959</f>
        <v>730</v>
      </c>
    </row>
    <row r="967" spans="3:4" x14ac:dyDescent="0.35">
      <c r="C967" t="s">
        <v>94</v>
      </c>
      <c r="D967">
        <v>2</v>
      </c>
    </row>
    <row r="969" spans="3:4" x14ac:dyDescent="0.35">
      <c r="C969" t="s">
        <v>95</v>
      </c>
      <c r="D969" t="s">
        <v>96</v>
      </c>
    </row>
    <row r="970" spans="3:4" x14ac:dyDescent="0.35">
      <c r="C970" s="1">
        <f>D959</f>
        <v>45809</v>
      </c>
      <c r="D970" s="2">
        <f>D960</f>
        <v>46539</v>
      </c>
    </row>
    <row r="972" spans="3:4" x14ac:dyDescent="0.35">
      <c r="C972" t="s">
        <v>212</v>
      </c>
      <c r="D972">
        <f>(1+D965/4)^(4*D967)</f>
        <v>1.1477531461860282</v>
      </c>
    </row>
    <row r="973" spans="3:4" x14ac:dyDescent="0.35">
      <c r="C973" t="s">
        <v>213</v>
      </c>
      <c r="D973" s="4">
        <f>D964*D972</f>
        <v>286938.28654650704</v>
      </c>
    </row>
    <row r="974" spans="3:4" x14ac:dyDescent="0.35">
      <c r="C974" t="s">
        <v>214</v>
      </c>
      <c r="D974" s="4">
        <f>D973-D964</f>
        <v>36938.286546507035</v>
      </c>
    </row>
    <row r="976" spans="3:4" x14ac:dyDescent="0.35">
      <c r="C976" t="s">
        <v>220</v>
      </c>
      <c r="D976" s="35">
        <f>D973</f>
        <v>286938.28654650704</v>
      </c>
    </row>
    <row r="979" spans="1:4" x14ac:dyDescent="0.35">
      <c r="A979">
        <v>64</v>
      </c>
      <c r="B979" t="s">
        <v>44</v>
      </c>
      <c r="C979" t="s">
        <v>82</v>
      </c>
      <c r="D979" s="1">
        <v>45748</v>
      </c>
    </row>
    <row r="980" spans="1:4" x14ac:dyDescent="0.35">
      <c r="C980" t="s">
        <v>83</v>
      </c>
      <c r="D980" s="2">
        <f>EDATE(D979,60)</f>
        <v>47574</v>
      </c>
    </row>
    <row r="981" spans="1:4" x14ac:dyDescent="0.35">
      <c r="C981" t="s">
        <v>89</v>
      </c>
      <c r="D981" t="s">
        <v>85</v>
      </c>
    </row>
    <row r="982" spans="1:4" x14ac:dyDescent="0.35">
      <c r="C982" t="s">
        <v>90</v>
      </c>
      <c r="D982" t="s">
        <v>86</v>
      </c>
    </row>
    <row r="983" spans="1:4" x14ac:dyDescent="0.35">
      <c r="C983" t="s">
        <v>133</v>
      </c>
      <c r="D983" t="s">
        <v>211</v>
      </c>
    </row>
    <row r="984" spans="1:4" x14ac:dyDescent="0.35">
      <c r="C984" t="s">
        <v>91</v>
      </c>
      <c r="D984" s="7">
        <v>100000</v>
      </c>
    </row>
    <row r="985" spans="1:4" x14ac:dyDescent="0.35">
      <c r="C985" t="s">
        <v>92</v>
      </c>
      <c r="D985" s="3">
        <v>7.3499999999999996E-2</v>
      </c>
    </row>
    <row r="986" spans="1:4" x14ac:dyDescent="0.35">
      <c r="C986" t="s">
        <v>93</v>
      </c>
      <c r="D986">
        <f>D980-D979</f>
        <v>1826</v>
      </c>
    </row>
    <row r="987" spans="1:4" x14ac:dyDescent="0.35">
      <c r="C987" t="s">
        <v>94</v>
      </c>
      <c r="D987">
        <v>5</v>
      </c>
    </row>
    <row r="989" spans="1:4" x14ac:dyDescent="0.35">
      <c r="C989" t="s">
        <v>95</v>
      </c>
      <c r="D989" t="s">
        <v>96</v>
      </c>
    </row>
    <row r="990" spans="1:4" x14ac:dyDescent="0.35">
      <c r="C990" s="1">
        <f>D979</f>
        <v>45748</v>
      </c>
      <c r="D990" s="2">
        <f>D980</f>
        <v>47574</v>
      </c>
    </row>
    <row r="992" spans="1:4" x14ac:dyDescent="0.35">
      <c r="C992" t="s">
        <v>212</v>
      </c>
      <c r="D992">
        <f>(1+D985/4)^(4*D987)</f>
        <v>1.4393108072936132</v>
      </c>
    </row>
    <row r="993" spans="1:4" x14ac:dyDescent="0.35">
      <c r="C993" t="s">
        <v>213</v>
      </c>
      <c r="D993" s="4">
        <f>D984*D992</f>
        <v>143931.0807293613</v>
      </c>
    </row>
    <row r="994" spans="1:4" x14ac:dyDescent="0.35">
      <c r="C994" t="s">
        <v>214</v>
      </c>
      <c r="D994" s="4">
        <f>D993-D984</f>
        <v>43931.080729361303</v>
      </c>
    </row>
    <row r="996" spans="1:4" x14ac:dyDescent="0.35">
      <c r="C996" s="33" t="s">
        <v>221</v>
      </c>
      <c r="D996" s="35">
        <f>D994</f>
        <v>43931.080729361303</v>
      </c>
    </row>
    <row r="999" spans="1:4" x14ac:dyDescent="0.35">
      <c r="A999">
        <v>65</v>
      </c>
      <c r="B999" t="s">
        <v>45</v>
      </c>
      <c r="C999" t="s">
        <v>82</v>
      </c>
      <c r="D999" s="1">
        <v>45717</v>
      </c>
    </row>
    <row r="1000" spans="1:4" x14ac:dyDescent="0.35">
      <c r="C1000" t="s">
        <v>83</v>
      </c>
      <c r="D1000" s="2">
        <f>EDATE(D999,24)</f>
        <v>46447</v>
      </c>
    </row>
    <row r="1001" spans="1:4" x14ac:dyDescent="0.35">
      <c r="C1001" t="s">
        <v>89</v>
      </c>
      <c r="D1001" t="s">
        <v>87</v>
      </c>
    </row>
    <row r="1002" spans="1:4" x14ac:dyDescent="0.35">
      <c r="C1002" t="s">
        <v>90</v>
      </c>
      <c r="D1002" t="s">
        <v>84</v>
      </c>
    </row>
    <row r="1003" spans="1:4" x14ac:dyDescent="0.35">
      <c r="C1003" t="s">
        <v>133</v>
      </c>
      <c r="D1003" t="s">
        <v>211</v>
      </c>
    </row>
    <row r="1004" spans="1:4" x14ac:dyDescent="0.35">
      <c r="C1004" t="s">
        <v>91</v>
      </c>
      <c r="D1004" s="7">
        <v>35000000</v>
      </c>
    </row>
    <row r="1005" spans="1:4" x14ac:dyDescent="0.35">
      <c r="C1005" t="s">
        <v>92</v>
      </c>
      <c r="D1005" s="3">
        <v>7.0000000000000007E-2</v>
      </c>
    </row>
    <row r="1006" spans="1:4" x14ac:dyDescent="0.35">
      <c r="C1006" t="s">
        <v>93</v>
      </c>
      <c r="D1006">
        <f>D1000-D999</f>
        <v>730</v>
      </c>
    </row>
    <row r="1007" spans="1:4" x14ac:dyDescent="0.35">
      <c r="C1007" t="s">
        <v>94</v>
      </c>
      <c r="D1007">
        <v>2</v>
      </c>
    </row>
    <row r="1009" spans="1:4" x14ac:dyDescent="0.35">
      <c r="C1009" t="s">
        <v>95</v>
      </c>
      <c r="D1009" t="s">
        <v>96</v>
      </c>
    </row>
    <row r="1010" spans="1:4" x14ac:dyDescent="0.35">
      <c r="C1010" s="1">
        <f>D999</f>
        <v>45717</v>
      </c>
      <c r="D1010" s="2">
        <f>D1000</f>
        <v>46447</v>
      </c>
    </row>
    <row r="1012" spans="1:4" x14ac:dyDescent="0.35">
      <c r="C1012" t="s">
        <v>212</v>
      </c>
      <c r="D1012">
        <f>(1+D1005/4)^(4*D1007)</f>
        <v>1.1488817829559281</v>
      </c>
    </row>
    <row r="1013" spans="1:4" x14ac:dyDescent="0.35">
      <c r="C1013" t="s">
        <v>213</v>
      </c>
      <c r="D1013" s="4">
        <f>D1004*D1012</f>
        <v>40210862.403457485</v>
      </c>
    </row>
    <row r="1014" spans="1:4" x14ac:dyDescent="0.35">
      <c r="C1014" t="s">
        <v>214</v>
      </c>
      <c r="D1014" s="4">
        <f>D1013-D1004</f>
        <v>5210862.4034574851</v>
      </c>
    </row>
    <row r="1016" spans="1:4" x14ac:dyDescent="0.35">
      <c r="C1016" t="s">
        <v>213</v>
      </c>
      <c r="D1016" s="20">
        <f>D1013</f>
        <v>40210862.403457485</v>
      </c>
    </row>
    <row r="1018" spans="1:4" x14ac:dyDescent="0.35">
      <c r="A1018">
        <v>66</v>
      </c>
      <c r="B1018" t="s">
        <v>46</v>
      </c>
      <c r="C1018" t="s">
        <v>82</v>
      </c>
      <c r="D1018" s="1">
        <v>45292</v>
      </c>
    </row>
    <row r="1019" spans="1:4" x14ac:dyDescent="0.35">
      <c r="C1019" t="s">
        <v>83</v>
      </c>
      <c r="D1019" s="2">
        <f>EDATE(D1018,24)</f>
        <v>46023</v>
      </c>
    </row>
    <row r="1020" spans="1:4" x14ac:dyDescent="0.35">
      <c r="C1020" t="s">
        <v>89</v>
      </c>
      <c r="D1020" t="s">
        <v>85</v>
      </c>
    </row>
    <row r="1021" spans="1:4" x14ac:dyDescent="0.35">
      <c r="C1021" t="s">
        <v>90</v>
      </c>
      <c r="D1021" t="s">
        <v>84</v>
      </c>
    </row>
    <row r="1022" spans="1:4" x14ac:dyDescent="0.35">
      <c r="C1022" t="s">
        <v>133</v>
      </c>
      <c r="D1022" t="s">
        <v>211</v>
      </c>
    </row>
    <row r="1023" spans="1:4" x14ac:dyDescent="0.35">
      <c r="C1023" t="s">
        <v>91</v>
      </c>
      <c r="D1023" s="7">
        <v>100000</v>
      </c>
    </row>
    <row r="1024" spans="1:4" x14ac:dyDescent="0.35">
      <c r="C1024" t="s">
        <v>92</v>
      </c>
      <c r="D1024" s="3">
        <v>7.7499999999999999E-2</v>
      </c>
    </row>
    <row r="1025" spans="1:5" x14ac:dyDescent="0.35">
      <c r="C1025" t="s">
        <v>93</v>
      </c>
      <c r="D1025">
        <f>D1019-D1018</f>
        <v>731</v>
      </c>
    </row>
    <row r="1026" spans="1:5" x14ac:dyDescent="0.35">
      <c r="C1026" t="s">
        <v>94</v>
      </c>
      <c r="D1026">
        <v>2</v>
      </c>
    </row>
    <row r="1028" spans="1:5" x14ac:dyDescent="0.35">
      <c r="C1028" t="s">
        <v>95</v>
      </c>
      <c r="D1028" t="s">
        <v>96</v>
      </c>
    </row>
    <row r="1029" spans="1:5" x14ac:dyDescent="0.35">
      <c r="C1029" s="1">
        <f>D1018</f>
        <v>45292</v>
      </c>
      <c r="D1029" s="2">
        <f>D1019</f>
        <v>46023</v>
      </c>
    </row>
    <row r="1031" spans="1:5" x14ac:dyDescent="0.35">
      <c r="C1031" t="s">
        <v>212</v>
      </c>
      <c r="D1031">
        <f>(1+D1024/4)^(4*D1026)</f>
        <v>1.1659282549821799</v>
      </c>
    </row>
    <row r="1032" spans="1:5" x14ac:dyDescent="0.35">
      <c r="C1032" t="s">
        <v>213</v>
      </c>
      <c r="D1032" s="4">
        <f>D1023*D1031</f>
        <v>116592.82549821799</v>
      </c>
    </row>
    <row r="1033" spans="1:5" x14ac:dyDescent="0.35">
      <c r="C1033" t="s">
        <v>214</v>
      </c>
      <c r="D1033" s="4">
        <f>D1032-D1023</f>
        <v>16592.825498217993</v>
      </c>
    </row>
    <row r="1034" spans="1:5" x14ac:dyDescent="0.35">
      <c r="C1034" s="2"/>
      <c r="D1034" s="2"/>
      <c r="E1034" s="2"/>
    </row>
    <row r="1035" spans="1:5" x14ac:dyDescent="0.35">
      <c r="C1035" s="2" t="s">
        <v>222</v>
      </c>
      <c r="D1035" s="20">
        <f>D1032</f>
        <v>116592.82549821799</v>
      </c>
      <c r="E1035" s="2"/>
    </row>
    <row r="1036" spans="1:5" x14ac:dyDescent="0.35">
      <c r="C1036" s="2"/>
      <c r="D1036" s="2"/>
      <c r="E1036" s="2"/>
    </row>
    <row r="1038" spans="1:5" x14ac:dyDescent="0.35">
      <c r="A1038">
        <v>67</v>
      </c>
      <c r="B1038" t="s">
        <v>47</v>
      </c>
      <c r="C1038" t="s">
        <v>82</v>
      </c>
      <c r="D1038" s="1">
        <v>44986</v>
      </c>
    </row>
    <row r="1039" spans="1:5" x14ac:dyDescent="0.35">
      <c r="C1039" t="s">
        <v>83</v>
      </c>
      <c r="D1039" s="2">
        <f>EDATE(D1038,24)</f>
        <v>45717</v>
      </c>
    </row>
    <row r="1040" spans="1:5" x14ac:dyDescent="0.35">
      <c r="C1040" t="s">
        <v>89</v>
      </c>
      <c r="D1040" t="s">
        <v>85</v>
      </c>
    </row>
    <row r="1041" spans="3:4" x14ac:dyDescent="0.35">
      <c r="C1041" t="s">
        <v>90</v>
      </c>
      <c r="D1041" t="s">
        <v>84</v>
      </c>
    </row>
    <row r="1042" spans="3:4" x14ac:dyDescent="0.35">
      <c r="C1042" t="s">
        <v>91</v>
      </c>
      <c r="D1042" s="7">
        <v>200000</v>
      </c>
    </row>
    <row r="1043" spans="3:4" x14ac:dyDescent="0.35">
      <c r="C1043" t="s">
        <v>92</v>
      </c>
      <c r="D1043" s="3">
        <v>7.7499999999999999E-2</v>
      </c>
    </row>
    <row r="1044" spans="3:4" x14ac:dyDescent="0.35">
      <c r="C1044" t="s">
        <v>93</v>
      </c>
      <c r="D1044">
        <f>D1039-D1038</f>
        <v>731</v>
      </c>
    </row>
    <row r="1045" spans="3:4" x14ac:dyDescent="0.35">
      <c r="C1045" t="s">
        <v>94</v>
      </c>
      <c r="D1045">
        <v>2</v>
      </c>
    </row>
    <row r="1047" spans="3:4" x14ac:dyDescent="0.35">
      <c r="C1047" t="s">
        <v>112</v>
      </c>
      <c r="D1047" s="1">
        <v>45716</v>
      </c>
    </row>
    <row r="1048" spans="3:4" x14ac:dyDescent="0.35">
      <c r="C1048" t="s">
        <v>113</v>
      </c>
      <c r="D1048">
        <f>D1047-D1038</f>
        <v>730</v>
      </c>
    </row>
    <row r="1049" spans="3:4" x14ac:dyDescent="0.35">
      <c r="C1049" t="s">
        <v>114</v>
      </c>
      <c r="D1049" s="3">
        <v>7.7499999999999999E-2</v>
      </c>
    </row>
    <row r="1050" spans="3:4" x14ac:dyDescent="0.35">
      <c r="C1050" t="s">
        <v>115</v>
      </c>
      <c r="D1050" s="3">
        <v>5.0000000000000001E-3</v>
      </c>
    </row>
    <row r="1051" spans="3:4" x14ac:dyDescent="0.35">
      <c r="C1051" t="s">
        <v>118</v>
      </c>
      <c r="D1051" s="2">
        <f>EDATE(D1038,12)</f>
        <v>45352</v>
      </c>
    </row>
    <row r="1052" spans="3:4" x14ac:dyDescent="0.35">
      <c r="C1052" t="s">
        <v>119</v>
      </c>
      <c r="D1052" s="12">
        <f>D1051-D1038</f>
        <v>366</v>
      </c>
    </row>
    <row r="1053" spans="3:4" x14ac:dyDescent="0.35">
      <c r="C1053" t="s">
        <v>116</v>
      </c>
      <c r="D1053" s="3">
        <f>MIN(D1043,D1049)-D1050</f>
        <v>7.2499999999999995E-2</v>
      </c>
    </row>
    <row r="1054" spans="3:4" x14ac:dyDescent="0.35">
      <c r="D1054" s="3"/>
    </row>
    <row r="1055" spans="3:4" x14ac:dyDescent="0.35">
      <c r="C1055" t="s">
        <v>223</v>
      </c>
      <c r="D1055" s="4">
        <f>(1+D1053/4)^(4*D1048/D1052)</f>
        <v>1.1540863311728025</v>
      </c>
    </row>
    <row r="1056" spans="3:4" x14ac:dyDescent="0.35">
      <c r="C1056" s="8" t="s">
        <v>224</v>
      </c>
      <c r="D1056" s="20">
        <f>D1042*D1055</f>
        <v>230817.26623456049</v>
      </c>
    </row>
    <row r="1058" spans="1:4" x14ac:dyDescent="0.35">
      <c r="A1058">
        <v>68</v>
      </c>
      <c r="B1058" t="s">
        <v>48</v>
      </c>
      <c r="C1058" t="s">
        <v>82</v>
      </c>
      <c r="D1058" s="1">
        <v>45292</v>
      </c>
    </row>
    <row r="1059" spans="1:4" x14ac:dyDescent="0.35">
      <c r="C1059" t="s">
        <v>83</v>
      </c>
      <c r="D1059" s="2">
        <f>EDATE(D1058,36)</f>
        <v>46388</v>
      </c>
    </row>
    <row r="1060" spans="1:4" x14ac:dyDescent="0.35">
      <c r="C1060" t="s">
        <v>89</v>
      </c>
      <c r="D1060" t="s">
        <v>85</v>
      </c>
    </row>
    <row r="1061" spans="1:4" x14ac:dyDescent="0.35">
      <c r="C1061" t="s">
        <v>90</v>
      </c>
      <c r="D1061" t="s">
        <v>86</v>
      </c>
    </row>
    <row r="1062" spans="1:4" x14ac:dyDescent="0.35">
      <c r="C1062" t="s">
        <v>91</v>
      </c>
      <c r="D1062" s="7">
        <v>500000</v>
      </c>
    </row>
    <row r="1063" spans="1:4" x14ac:dyDescent="0.35">
      <c r="C1063" t="s">
        <v>92</v>
      </c>
      <c r="D1063" s="3">
        <v>8.2000000000000003E-2</v>
      </c>
    </row>
    <row r="1064" spans="1:4" x14ac:dyDescent="0.35">
      <c r="C1064" t="s">
        <v>93</v>
      </c>
      <c r="D1064">
        <f>D1059-D1058</f>
        <v>1096</v>
      </c>
    </row>
    <row r="1065" spans="1:4" x14ac:dyDescent="0.35">
      <c r="C1065" t="s">
        <v>94</v>
      </c>
      <c r="D1065">
        <v>3</v>
      </c>
    </row>
    <row r="1067" spans="1:4" x14ac:dyDescent="0.35">
      <c r="C1067" t="s">
        <v>112</v>
      </c>
      <c r="D1067" s="1">
        <v>45839</v>
      </c>
    </row>
    <row r="1068" spans="1:4" x14ac:dyDescent="0.35">
      <c r="C1068" t="s">
        <v>113</v>
      </c>
      <c r="D1068">
        <f>D1067-D1058</f>
        <v>547</v>
      </c>
    </row>
    <row r="1069" spans="1:4" x14ac:dyDescent="0.35">
      <c r="C1069" t="s">
        <v>114</v>
      </c>
      <c r="D1069" s="3">
        <v>8.2500000000000004E-2</v>
      </c>
    </row>
    <row r="1070" spans="1:4" x14ac:dyDescent="0.35">
      <c r="C1070" t="s">
        <v>115</v>
      </c>
      <c r="D1070" s="3">
        <v>5.0000000000000001E-3</v>
      </c>
    </row>
    <row r="1071" spans="1:4" x14ac:dyDescent="0.35">
      <c r="C1071" t="s">
        <v>118</v>
      </c>
      <c r="D1071" s="2">
        <f>EDATE(D1058,12)</f>
        <v>45658</v>
      </c>
    </row>
    <row r="1072" spans="1:4" x14ac:dyDescent="0.35">
      <c r="C1072" t="s">
        <v>119</v>
      </c>
      <c r="D1072" s="12">
        <f>D1071-D1058</f>
        <v>366</v>
      </c>
    </row>
    <row r="1073" spans="1:10" x14ac:dyDescent="0.35">
      <c r="C1073" t="s">
        <v>116</v>
      </c>
      <c r="D1073" s="3">
        <f>MIN(D1063,D1069)-D1070</f>
        <v>7.6999999999999999E-2</v>
      </c>
    </row>
    <row r="1074" spans="1:10" x14ac:dyDescent="0.35">
      <c r="D1074" s="3"/>
      <c r="J1074" s="7"/>
    </row>
    <row r="1075" spans="1:10" x14ac:dyDescent="0.35">
      <c r="C1075" t="s">
        <v>117</v>
      </c>
      <c r="D1075" s="4">
        <f>D1062+D1062*D1073*D1068/D1072</f>
        <v>557539.61748633883</v>
      </c>
      <c r="J1075" s="7"/>
    </row>
    <row r="1076" spans="1:10" x14ac:dyDescent="0.35">
      <c r="J1076" s="7"/>
    </row>
    <row r="1077" spans="1:10" x14ac:dyDescent="0.35">
      <c r="C1077" t="s">
        <v>95</v>
      </c>
      <c r="D1077" t="s">
        <v>96</v>
      </c>
      <c r="E1077" t="s">
        <v>97</v>
      </c>
      <c r="F1077" t="s">
        <v>98</v>
      </c>
      <c r="G1077" t="s">
        <v>99</v>
      </c>
    </row>
    <row r="1078" spans="1:10" x14ac:dyDescent="0.35">
      <c r="C1078" s="1">
        <v>45292</v>
      </c>
      <c r="D1078" s="2">
        <f t="shared" ref="D1078:D1083" si="171">EDATE(C1078,3)</f>
        <v>45383</v>
      </c>
      <c r="E1078" s="1">
        <f t="shared" ref="E1078:E1083" si="172">EDATE(C1078,12)</f>
        <v>45658</v>
      </c>
      <c r="F1078">
        <f t="shared" ref="F1078:F1083" si="173">D1078-C1078</f>
        <v>91</v>
      </c>
      <c r="G1078">
        <f t="shared" ref="G1078:G1083" si="174">E1078-C1078</f>
        <v>366</v>
      </c>
      <c r="I1078" t="s">
        <v>100</v>
      </c>
      <c r="J1078" s="7">
        <f>$D$1062*$D$1063*F1078/G1078</f>
        <v>10193.989071038251</v>
      </c>
    </row>
    <row r="1079" spans="1:10" x14ac:dyDescent="0.35">
      <c r="C1079" s="2">
        <f>D1078</f>
        <v>45383</v>
      </c>
      <c r="D1079" s="2">
        <f t="shared" si="171"/>
        <v>45474</v>
      </c>
      <c r="E1079" s="1">
        <f t="shared" si="172"/>
        <v>45748</v>
      </c>
      <c r="F1079">
        <f t="shared" si="173"/>
        <v>91</v>
      </c>
      <c r="G1079">
        <f t="shared" si="174"/>
        <v>365</v>
      </c>
      <c r="I1079" t="s">
        <v>101</v>
      </c>
      <c r="J1079" s="7">
        <f t="shared" ref="J1079:J1083" si="175">$D$1062*$D$1063*F1079/G1079</f>
        <v>10221.917808219177</v>
      </c>
    </row>
    <row r="1080" spans="1:10" x14ac:dyDescent="0.35">
      <c r="C1080" s="2">
        <f>D1079</f>
        <v>45474</v>
      </c>
      <c r="D1080" s="2">
        <f t="shared" si="171"/>
        <v>45566</v>
      </c>
      <c r="E1080" s="1">
        <f t="shared" si="172"/>
        <v>45839</v>
      </c>
      <c r="F1080">
        <f t="shared" si="173"/>
        <v>92</v>
      </c>
      <c r="G1080">
        <f t="shared" si="174"/>
        <v>365</v>
      </c>
      <c r="I1080" t="s">
        <v>102</v>
      </c>
      <c r="J1080" s="7">
        <f t="shared" si="175"/>
        <v>10334.246575342466</v>
      </c>
    </row>
    <row r="1081" spans="1:10" x14ac:dyDescent="0.35">
      <c r="C1081" s="2">
        <f>D1080</f>
        <v>45566</v>
      </c>
      <c r="D1081" s="2">
        <f t="shared" si="171"/>
        <v>45658</v>
      </c>
      <c r="E1081" s="1">
        <f t="shared" si="172"/>
        <v>45931</v>
      </c>
      <c r="F1081">
        <f t="shared" si="173"/>
        <v>92</v>
      </c>
      <c r="G1081">
        <f t="shared" si="174"/>
        <v>365</v>
      </c>
      <c r="I1081" t="s">
        <v>103</v>
      </c>
      <c r="J1081" s="7">
        <f t="shared" si="175"/>
        <v>10334.246575342466</v>
      </c>
    </row>
    <row r="1082" spans="1:10" x14ac:dyDescent="0.35">
      <c r="C1082" s="2">
        <f>D1081</f>
        <v>45658</v>
      </c>
      <c r="D1082" s="2">
        <f t="shared" si="171"/>
        <v>45748</v>
      </c>
      <c r="E1082" s="1">
        <f t="shared" si="172"/>
        <v>46023</v>
      </c>
      <c r="F1082">
        <f t="shared" si="173"/>
        <v>90</v>
      </c>
      <c r="G1082">
        <f t="shared" si="174"/>
        <v>365</v>
      </c>
      <c r="I1082" t="s">
        <v>104</v>
      </c>
      <c r="J1082" s="7">
        <f t="shared" si="175"/>
        <v>10109.589041095891</v>
      </c>
    </row>
    <row r="1083" spans="1:10" x14ac:dyDescent="0.35">
      <c r="C1083" s="2">
        <f>D1082</f>
        <v>45748</v>
      </c>
      <c r="D1083" s="2">
        <f t="shared" si="171"/>
        <v>45839</v>
      </c>
      <c r="E1083" s="1">
        <f t="shared" si="172"/>
        <v>46113</v>
      </c>
      <c r="F1083">
        <f t="shared" si="173"/>
        <v>91</v>
      </c>
      <c r="G1083">
        <f t="shared" si="174"/>
        <v>365</v>
      </c>
      <c r="I1083" t="s">
        <v>105</v>
      </c>
      <c r="J1083" s="7">
        <f t="shared" si="175"/>
        <v>10221.917808219177</v>
      </c>
    </row>
    <row r="1084" spans="1:10" x14ac:dyDescent="0.35">
      <c r="C1084" s="2"/>
      <c r="D1084" s="2"/>
      <c r="E1084" s="1"/>
    </row>
    <row r="1085" spans="1:10" x14ac:dyDescent="0.35">
      <c r="C1085" s="8" t="s">
        <v>129</v>
      </c>
      <c r="D1085" s="20">
        <f>D1075-SUM(J1078:J1083)</f>
        <v>496123.71060708142</v>
      </c>
    </row>
    <row r="1088" spans="1:10" x14ac:dyDescent="0.35">
      <c r="A1088">
        <v>69</v>
      </c>
      <c r="B1088" t="s">
        <v>49</v>
      </c>
      <c r="C1088" t="s">
        <v>82</v>
      </c>
      <c r="D1088" s="1">
        <v>45458</v>
      </c>
    </row>
    <row r="1089" spans="3:4" x14ac:dyDescent="0.35">
      <c r="C1089" t="s">
        <v>83</v>
      </c>
      <c r="D1089" s="2">
        <f>EDATE(D1088,36)</f>
        <v>46553</v>
      </c>
    </row>
    <row r="1090" spans="3:4" x14ac:dyDescent="0.35">
      <c r="C1090" t="s">
        <v>89</v>
      </c>
      <c r="D1090" t="s">
        <v>85</v>
      </c>
    </row>
    <row r="1091" spans="3:4" x14ac:dyDescent="0.35">
      <c r="C1091" t="s">
        <v>90</v>
      </c>
      <c r="D1091" t="s">
        <v>86</v>
      </c>
    </row>
    <row r="1092" spans="3:4" x14ac:dyDescent="0.35">
      <c r="C1092" t="s">
        <v>91</v>
      </c>
      <c r="D1092" s="7">
        <v>300000</v>
      </c>
    </row>
    <row r="1093" spans="3:4" x14ac:dyDescent="0.35">
      <c r="C1093" t="s">
        <v>92</v>
      </c>
      <c r="D1093" s="3">
        <v>0.08</v>
      </c>
    </row>
    <row r="1094" spans="3:4" x14ac:dyDescent="0.35">
      <c r="C1094" t="s">
        <v>93</v>
      </c>
      <c r="D1094">
        <f>D1089-D1088</f>
        <v>1095</v>
      </c>
    </row>
    <row r="1095" spans="3:4" x14ac:dyDescent="0.35">
      <c r="C1095" t="s">
        <v>94</v>
      </c>
      <c r="D1095">
        <v>3</v>
      </c>
    </row>
    <row r="1097" spans="3:4" x14ac:dyDescent="0.35">
      <c r="C1097" t="s">
        <v>112</v>
      </c>
      <c r="D1097" s="1">
        <v>45646</v>
      </c>
    </row>
    <row r="1098" spans="3:4" x14ac:dyDescent="0.35">
      <c r="C1098" t="s">
        <v>113</v>
      </c>
      <c r="D1098">
        <f>D1097-D1088</f>
        <v>188</v>
      </c>
    </row>
    <row r="1099" spans="3:4" x14ac:dyDescent="0.35">
      <c r="C1099" t="s">
        <v>114</v>
      </c>
      <c r="D1099" s="3">
        <v>7.4499999999999997E-2</v>
      </c>
    </row>
    <row r="1100" spans="3:4" x14ac:dyDescent="0.35">
      <c r="C1100" t="s">
        <v>115</v>
      </c>
      <c r="D1100" s="3">
        <v>5.0000000000000001E-3</v>
      </c>
    </row>
    <row r="1101" spans="3:4" x14ac:dyDescent="0.35">
      <c r="C1101" t="s">
        <v>118</v>
      </c>
      <c r="D1101" s="2">
        <f>EDATE(D1088,12)</f>
        <v>45823</v>
      </c>
    </row>
    <row r="1102" spans="3:4" x14ac:dyDescent="0.35">
      <c r="C1102" t="s">
        <v>119</v>
      </c>
      <c r="D1102" s="12">
        <f>D1101-D1088</f>
        <v>365</v>
      </c>
    </row>
    <row r="1103" spans="3:4" x14ac:dyDescent="0.35">
      <c r="C1103" t="s">
        <v>116</v>
      </c>
      <c r="D1103" s="3">
        <f>MIN(D1093,D1099)-D1100</f>
        <v>6.9499999999999992E-2</v>
      </c>
    </row>
    <row r="1104" spans="3:4" x14ac:dyDescent="0.35">
      <c r="D1104" s="3"/>
    </row>
    <row r="1105" spans="1:4" x14ac:dyDescent="0.35">
      <c r="C1105" t="s">
        <v>223</v>
      </c>
      <c r="D1105" s="4">
        <f>(1+D1103/4)^(4*D1098/D1102)</f>
        <v>1.0361271081356926</v>
      </c>
    </row>
    <row r="1106" spans="1:4" x14ac:dyDescent="0.35">
      <c r="C1106" s="8" t="s">
        <v>120</v>
      </c>
      <c r="D1106" s="20">
        <f>D1092*D1105</f>
        <v>310838.13244070782</v>
      </c>
    </row>
    <row r="1109" spans="1:4" x14ac:dyDescent="0.35">
      <c r="A1109">
        <v>70</v>
      </c>
      <c r="B1109" t="s">
        <v>50</v>
      </c>
      <c r="C1109" t="s">
        <v>82</v>
      </c>
      <c r="D1109" s="1">
        <v>45698</v>
      </c>
    </row>
    <row r="1110" spans="1:4" x14ac:dyDescent="0.35">
      <c r="C1110" t="s">
        <v>83</v>
      </c>
      <c r="D1110" s="2">
        <f>EDATE(D1109,24)</f>
        <v>46428</v>
      </c>
    </row>
    <row r="1111" spans="1:4" x14ac:dyDescent="0.35">
      <c r="C1111" t="s">
        <v>89</v>
      </c>
      <c r="D1111" t="s">
        <v>85</v>
      </c>
    </row>
    <row r="1112" spans="1:4" x14ac:dyDescent="0.35">
      <c r="C1112" t="s">
        <v>90</v>
      </c>
      <c r="D1112" t="s">
        <v>84</v>
      </c>
    </row>
    <row r="1113" spans="1:4" x14ac:dyDescent="0.35">
      <c r="C1113" t="s">
        <v>91</v>
      </c>
      <c r="D1113" s="7">
        <v>150000</v>
      </c>
    </row>
    <row r="1114" spans="1:4" x14ac:dyDescent="0.35">
      <c r="C1114" t="s">
        <v>92</v>
      </c>
      <c r="D1114" s="3">
        <v>6.9500000000000006E-2</v>
      </c>
    </row>
    <row r="1115" spans="1:4" x14ac:dyDescent="0.35">
      <c r="C1115" t="s">
        <v>93</v>
      </c>
      <c r="D1115">
        <f>D1110-D1109</f>
        <v>730</v>
      </c>
    </row>
    <row r="1116" spans="1:4" x14ac:dyDescent="0.35">
      <c r="C1116" t="s">
        <v>94</v>
      </c>
      <c r="D1116">
        <v>2</v>
      </c>
    </row>
    <row r="1118" spans="1:4" x14ac:dyDescent="0.35">
      <c r="C1118" t="s">
        <v>112</v>
      </c>
      <c r="D1118" s="1">
        <v>45901</v>
      </c>
    </row>
    <row r="1119" spans="1:4" x14ac:dyDescent="0.35">
      <c r="C1119" t="s">
        <v>113</v>
      </c>
      <c r="D1119">
        <f>D1118-D1109</f>
        <v>203</v>
      </c>
    </row>
    <row r="1120" spans="1:4" x14ac:dyDescent="0.35">
      <c r="C1120" t="s">
        <v>114</v>
      </c>
      <c r="D1120" s="3">
        <v>6.3500000000000001E-2</v>
      </c>
    </row>
    <row r="1121" spans="1:5" x14ac:dyDescent="0.35">
      <c r="C1121" t="s">
        <v>115</v>
      </c>
      <c r="D1121" s="3">
        <v>5.0000000000000001E-3</v>
      </c>
    </row>
    <row r="1122" spans="1:5" x14ac:dyDescent="0.35">
      <c r="C1122" t="s">
        <v>118</v>
      </c>
      <c r="D1122" s="2">
        <f>EDATE(D1109,12)</f>
        <v>46063</v>
      </c>
    </row>
    <row r="1123" spans="1:5" x14ac:dyDescent="0.35">
      <c r="C1123" t="s">
        <v>119</v>
      </c>
      <c r="D1123" s="12">
        <f>D1122-D1109</f>
        <v>365</v>
      </c>
    </row>
    <row r="1124" spans="1:5" x14ac:dyDescent="0.35">
      <c r="C1124" t="s">
        <v>116</v>
      </c>
      <c r="D1124" s="3">
        <f>MIN(D1114,D1120)-D1121</f>
        <v>5.8500000000000003E-2</v>
      </c>
    </row>
    <row r="1125" spans="1:5" x14ac:dyDescent="0.35">
      <c r="D1125" s="3"/>
    </row>
    <row r="1126" spans="1:5" x14ac:dyDescent="0.35">
      <c r="C1126" t="s">
        <v>223</v>
      </c>
      <c r="D1126" s="4">
        <f>(1+D1124/4)^(4*D1119/D1123)</f>
        <v>1.0328273011178701</v>
      </c>
    </row>
    <row r="1127" spans="1:5" x14ac:dyDescent="0.35">
      <c r="C1127" s="8" t="s">
        <v>225</v>
      </c>
      <c r="D1127" s="20">
        <f>D1113*D1126</f>
        <v>154924.09516768053</v>
      </c>
    </row>
    <row r="1129" spans="1:5" x14ac:dyDescent="0.35">
      <c r="C1129" s="1"/>
      <c r="D1129" s="2"/>
      <c r="E1129" s="1"/>
    </row>
    <row r="1130" spans="1:5" x14ac:dyDescent="0.35">
      <c r="A1130">
        <v>71</v>
      </c>
      <c r="B1130" t="s">
        <v>51</v>
      </c>
      <c r="C1130" t="s">
        <v>82</v>
      </c>
      <c r="D1130" s="1">
        <v>45200</v>
      </c>
    </row>
    <row r="1131" spans="1:5" x14ac:dyDescent="0.35">
      <c r="C1131" t="s">
        <v>83</v>
      </c>
      <c r="D1131" s="2">
        <f>EDATE(D1130,36)</f>
        <v>46296</v>
      </c>
    </row>
    <row r="1132" spans="1:5" x14ac:dyDescent="0.35">
      <c r="C1132" t="s">
        <v>122</v>
      </c>
      <c r="D1132" s="2" t="s">
        <v>121</v>
      </c>
    </row>
    <row r="1133" spans="1:5" x14ac:dyDescent="0.35">
      <c r="C1133" t="s">
        <v>89</v>
      </c>
      <c r="D1133" t="s">
        <v>85</v>
      </c>
    </row>
    <row r="1134" spans="1:5" x14ac:dyDescent="0.35">
      <c r="C1134" t="s">
        <v>90</v>
      </c>
      <c r="D1134" t="s">
        <v>84</v>
      </c>
    </row>
    <row r="1135" spans="1:5" x14ac:dyDescent="0.35">
      <c r="C1135" t="s">
        <v>91</v>
      </c>
      <c r="D1135" s="7">
        <v>400000</v>
      </c>
    </row>
    <row r="1136" spans="1:5" x14ac:dyDescent="0.35">
      <c r="C1136" t="s">
        <v>92</v>
      </c>
      <c r="D1136" s="3">
        <v>7.6999999999999999E-2</v>
      </c>
    </row>
    <row r="1137" spans="3:10" x14ac:dyDescent="0.35">
      <c r="C1137" t="s">
        <v>93</v>
      </c>
      <c r="D1137">
        <f>D1131-D1130</f>
        <v>1096</v>
      </c>
    </row>
    <row r="1138" spans="3:10" x14ac:dyDescent="0.35">
      <c r="C1138" t="s">
        <v>94</v>
      </c>
      <c r="D1138">
        <v>3</v>
      </c>
    </row>
    <row r="1140" spans="3:10" x14ac:dyDescent="0.35">
      <c r="C1140" t="s">
        <v>112</v>
      </c>
      <c r="D1140" s="1">
        <v>45762</v>
      </c>
    </row>
    <row r="1141" spans="3:10" x14ac:dyDescent="0.35">
      <c r="C1141" t="s">
        <v>113</v>
      </c>
      <c r="D1141">
        <f>D1140-D1130</f>
        <v>562</v>
      </c>
    </row>
    <row r="1142" spans="3:10" x14ac:dyDescent="0.35">
      <c r="C1142" t="s">
        <v>114</v>
      </c>
      <c r="D1142" s="3">
        <v>7.7499999999999999E-2</v>
      </c>
    </row>
    <row r="1143" spans="3:10" x14ac:dyDescent="0.35">
      <c r="C1143" t="s">
        <v>115</v>
      </c>
      <c r="D1143" s="3">
        <v>5.0000000000000001E-3</v>
      </c>
    </row>
    <row r="1144" spans="3:10" x14ac:dyDescent="0.35">
      <c r="C1144" t="s">
        <v>118</v>
      </c>
      <c r="D1144" s="2">
        <f>EDATE(D1130,12)</f>
        <v>45566</v>
      </c>
    </row>
    <row r="1145" spans="3:10" x14ac:dyDescent="0.35">
      <c r="C1145" t="s">
        <v>119</v>
      </c>
      <c r="D1145" s="12">
        <f>D1144-D1130</f>
        <v>366</v>
      </c>
    </row>
    <row r="1146" spans="3:10" x14ac:dyDescent="0.35">
      <c r="C1146" t="s">
        <v>116</v>
      </c>
      <c r="D1146" s="3">
        <f>MIN(D1136,D1142)-D1143</f>
        <v>7.1999999999999995E-2</v>
      </c>
    </row>
    <row r="1147" spans="3:10" x14ac:dyDescent="0.35">
      <c r="D1147" s="3"/>
    </row>
    <row r="1148" spans="3:10" x14ac:dyDescent="0.35">
      <c r="C1148" t="s">
        <v>117</v>
      </c>
      <c r="D1148" s="4">
        <f>D1135+D1135*D1146*D1141/D1145</f>
        <v>444222.95081967214</v>
      </c>
    </row>
    <row r="1149" spans="3:10" x14ac:dyDescent="0.35">
      <c r="C1149" t="s">
        <v>131</v>
      </c>
    </row>
    <row r="1150" spans="3:10" x14ac:dyDescent="0.35">
      <c r="C1150" s="16" t="s">
        <v>95</v>
      </c>
      <c r="D1150" s="16" t="s">
        <v>96</v>
      </c>
      <c r="E1150" s="16" t="s">
        <v>97</v>
      </c>
      <c r="F1150" s="16" t="s">
        <v>98</v>
      </c>
      <c r="G1150" s="16" t="s">
        <v>99</v>
      </c>
      <c r="H1150" s="16"/>
      <c r="I1150" s="16"/>
      <c r="J1150" s="16"/>
    </row>
    <row r="1151" spans="3:10" x14ac:dyDescent="0.35">
      <c r="C1151" s="17">
        <v>45200</v>
      </c>
      <c r="D1151" s="6">
        <f>EDATE(C1151,6)</f>
        <v>45383</v>
      </c>
      <c r="E1151" s="17">
        <f>EDATE(C1151,12)</f>
        <v>45566</v>
      </c>
      <c r="F1151" s="16">
        <f>D1151-C1151</f>
        <v>183</v>
      </c>
      <c r="G1151" s="16">
        <f>E1151-C1151</f>
        <v>366</v>
      </c>
      <c r="H1151" s="16"/>
      <c r="I1151" s="16" t="s">
        <v>100</v>
      </c>
      <c r="J1151" s="18">
        <f>$D$1135*$D$1136*F1151/G1151</f>
        <v>15400</v>
      </c>
    </row>
    <row r="1152" spans="3:10" x14ac:dyDescent="0.35">
      <c r="C1152" s="6">
        <f>D1151</f>
        <v>45383</v>
      </c>
      <c r="D1152" s="6">
        <f>EDATE(C1152,6)</f>
        <v>45566</v>
      </c>
      <c r="E1152" s="17">
        <f>EDATE(C1152,12)</f>
        <v>45748</v>
      </c>
      <c r="F1152" s="16">
        <f>D1152-C1152</f>
        <v>183</v>
      </c>
      <c r="G1152" s="16">
        <f>E1152-C1152</f>
        <v>365</v>
      </c>
      <c r="H1152" s="16"/>
      <c r="I1152" s="16" t="s">
        <v>101</v>
      </c>
      <c r="J1152" s="18">
        <f>$D$1135*$D$1136*F1152/G1152</f>
        <v>15442.191780821919</v>
      </c>
    </row>
    <row r="1153" spans="1:10" x14ac:dyDescent="0.35">
      <c r="C1153" s="6">
        <f>D1152</f>
        <v>45566</v>
      </c>
      <c r="D1153" s="6">
        <f>EDATE(C1153,6)</f>
        <v>45748</v>
      </c>
      <c r="E1153" s="17">
        <f>EDATE(C1153,12)</f>
        <v>45931</v>
      </c>
      <c r="F1153" s="16">
        <f>D1153-C1153</f>
        <v>182</v>
      </c>
      <c r="G1153" s="16">
        <f>E1153-C1153</f>
        <v>365</v>
      </c>
      <c r="H1153" s="16"/>
      <c r="I1153" s="16" t="s">
        <v>102</v>
      </c>
      <c r="J1153" s="18">
        <f>$D$1135*$D$1136*F1153/G1153</f>
        <v>15357.808219178081</v>
      </c>
    </row>
    <row r="1154" spans="1:10" x14ac:dyDescent="0.35">
      <c r="C1154" s="2"/>
      <c r="D1154" s="2"/>
      <c r="E1154" s="1"/>
    </row>
    <row r="1155" spans="1:10" x14ac:dyDescent="0.35">
      <c r="C1155" s="2"/>
      <c r="D1155" s="2"/>
      <c r="E1155" s="1"/>
    </row>
    <row r="1156" spans="1:10" x14ac:dyDescent="0.35">
      <c r="C1156" s="13" t="s">
        <v>123</v>
      </c>
      <c r="D1156" s="20">
        <f>D1148-SUM(J1151:J1153)</f>
        <v>398022.95081967214</v>
      </c>
      <c r="E1156" s="1"/>
    </row>
    <row r="1157" spans="1:10" x14ac:dyDescent="0.35">
      <c r="D1157" s="15"/>
    </row>
    <row r="1158" spans="1:10" x14ac:dyDescent="0.35">
      <c r="A1158">
        <v>72</v>
      </c>
      <c r="B1158" t="s">
        <v>52</v>
      </c>
      <c r="C1158" t="s">
        <v>226</v>
      </c>
      <c r="D1158" s="1"/>
    </row>
    <row r="1159" spans="1:10" x14ac:dyDescent="0.35">
      <c r="C1159" t="s">
        <v>166</v>
      </c>
      <c r="D1159" s="30">
        <v>50000</v>
      </c>
    </row>
    <row r="1160" spans="1:10" x14ac:dyDescent="0.35">
      <c r="D1160" s="2"/>
    </row>
    <row r="1161" spans="1:10" x14ac:dyDescent="0.35">
      <c r="A1161">
        <v>73</v>
      </c>
      <c r="B1161" t="s">
        <v>53</v>
      </c>
      <c r="C1161" t="s">
        <v>82</v>
      </c>
      <c r="D1161" s="1">
        <v>45292</v>
      </c>
    </row>
    <row r="1162" spans="1:10" x14ac:dyDescent="0.35">
      <c r="C1162" t="s">
        <v>83</v>
      </c>
      <c r="D1162" s="2">
        <f>EDATE(D1161,36)</f>
        <v>46388</v>
      </c>
    </row>
    <row r="1163" spans="1:10" x14ac:dyDescent="0.35">
      <c r="C1163" t="s">
        <v>89</v>
      </c>
      <c r="D1163" t="s">
        <v>87</v>
      </c>
    </row>
    <row r="1164" spans="1:10" x14ac:dyDescent="0.35">
      <c r="C1164" t="s">
        <v>90</v>
      </c>
      <c r="D1164" t="s">
        <v>86</v>
      </c>
    </row>
    <row r="1165" spans="1:10" x14ac:dyDescent="0.35">
      <c r="C1165" t="s">
        <v>91</v>
      </c>
      <c r="D1165" s="7">
        <v>50000000</v>
      </c>
    </row>
    <row r="1166" spans="1:10" x14ac:dyDescent="0.35">
      <c r="C1166" t="s">
        <v>92</v>
      </c>
      <c r="D1166" s="3">
        <v>8.2500000000000004E-2</v>
      </c>
    </row>
    <row r="1167" spans="1:10" x14ac:dyDescent="0.35">
      <c r="C1167" t="s">
        <v>93</v>
      </c>
      <c r="D1167">
        <f>D1162-D1161</f>
        <v>1096</v>
      </c>
    </row>
    <row r="1168" spans="1:10" x14ac:dyDescent="0.35">
      <c r="C1168" t="s">
        <v>94</v>
      </c>
      <c r="D1168">
        <v>3</v>
      </c>
    </row>
    <row r="1170" spans="1:10" x14ac:dyDescent="0.35">
      <c r="C1170" t="s">
        <v>112</v>
      </c>
      <c r="D1170" s="1">
        <v>45838</v>
      </c>
    </row>
    <row r="1171" spans="1:10" x14ac:dyDescent="0.35">
      <c r="C1171" t="s">
        <v>113</v>
      </c>
      <c r="D1171">
        <f>D1170-D1161</f>
        <v>546</v>
      </c>
    </row>
    <row r="1172" spans="1:10" x14ac:dyDescent="0.35">
      <c r="C1172" t="s">
        <v>114</v>
      </c>
      <c r="D1172" s="3">
        <v>8.3000000000000004E-2</v>
      </c>
    </row>
    <row r="1173" spans="1:10" x14ac:dyDescent="0.35">
      <c r="C1173" t="s">
        <v>115</v>
      </c>
      <c r="D1173" s="3">
        <v>5.0000000000000001E-3</v>
      </c>
    </row>
    <row r="1174" spans="1:10" x14ac:dyDescent="0.35">
      <c r="C1174" t="s">
        <v>118</v>
      </c>
      <c r="D1174" s="2">
        <f>EDATE(D1161,12)</f>
        <v>45658</v>
      </c>
    </row>
    <row r="1175" spans="1:10" x14ac:dyDescent="0.35">
      <c r="C1175" t="s">
        <v>119</v>
      </c>
      <c r="D1175" s="12">
        <f>D1174-D1161</f>
        <v>366</v>
      </c>
    </row>
    <row r="1176" spans="1:10" x14ac:dyDescent="0.35">
      <c r="C1176" t="s">
        <v>116</v>
      </c>
      <c r="D1176" s="3">
        <f>MIN(D1166,D1172)-D1173</f>
        <v>7.7499999999999999E-2</v>
      </c>
    </row>
    <row r="1177" spans="1:10" x14ac:dyDescent="0.35">
      <c r="D1177" s="3"/>
    </row>
    <row r="1178" spans="1:10" x14ac:dyDescent="0.35">
      <c r="C1178" t="s">
        <v>227</v>
      </c>
      <c r="D1178" s="4">
        <f>(1+D1176/4)^(4*D1171/D1175)</f>
        <v>1.1213227284949021</v>
      </c>
    </row>
    <row r="1179" spans="1:10" x14ac:dyDescent="0.35">
      <c r="C1179" s="8" t="s">
        <v>123</v>
      </c>
      <c r="D1179" s="20">
        <f>D1165*D1178</f>
        <v>56066136.424745105</v>
      </c>
      <c r="E1179" s="1"/>
      <c r="J1179" s="7"/>
    </row>
    <row r="1180" spans="1:10" x14ac:dyDescent="0.35">
      <c r="C1180" s="2"/>
      <c r="D1180" s="2"/>
      <c r="E1180" s="1"/>
      <c r="J1180" s="7"/>
    </row>
    <row r="1181" spans="1:10" x14ac:dyDescent="0.35">
      <c r="A1181">
        <v>74</v>
      </c>
      <c r="B1181" t="s">
        <v>54</v>
      </c>
      <c r="C1181" t="s">
        <v>82</v>
      </c>
      <c r="D1181" s="1">
        <v>45383</v>
      </c>
    </row>
    <row r="1182" spans="1:10" x14ac:dyDescent="0.35">
      <c r="C1182" t="s">
        <v>83</v>
      </c>
      <c r="D1182" s="2">
        <f>EDATE(D1181,24)</f>
        <v>46113</v>
      </c>
    </row>
    <row r="1183" spans="1:10" x14ac:dyDescent="0.35">
      <c r="C1183" t="s">
        <v>122</v>
      </c>
      <c r="D1183" s="2" t="s">
        <v>127</v>
      </c>
    </row>
    <row r="1184" spans="1:10" x14ac:dyDescent="0.35">
      <c r="C1184" t="s">
        <v>89</v>
      </c>
      <c r="D1184" t="s">
        <v>85</v>
      </c>
    </row>
    <row r="1185" spans="3:4" x14ac:dyDescent="0.35">
      <c r="C1185" t="s">
        <v>90</v>
      </c>
      <c r="D1185" t="s">
        <v>84</v>
      </c>
    </row>
    <row r="1186" spans="3:4" x14ac:dyDescent="0.35">
      <c r="C1186" t="s">
        <v>91</v>
      </c>
      <c r="D1186" s="7">
        <v>200000</v>
      </c>
    </row>
    <row r="1187" spans="3:4" x14ac:dyDescent="0.35">
      <c r="C1187" t="s">
        <v>92</v>
      </c>
      <c r="D1187" s="3">
        <v>7.2499999999999995E-2</v>
      </c>
    </row>
    <row r="1188" spans="3:4" x14ac:dyDescent="0.35">
      <c r="C1188" t="s">
        <v>93</v>
      </c>
      <c r="D1188">
        <f>D1182-D1181</f>
        <v>730</v>
      </c>
    </row>
    <row r="1189" spans="3:4" x14ac:dyDescent="0.35">
      <c r="C1189" t="s">
        <v>94</v>
      </c>
      <c r="D1189">
        <v>2</v>
      </c>
    </row>
    <row r="1191" spans="3:4" x14ac:dyDescent="0.35">
      <c r="C1191" t="s">
        <v>112</v>
      </c>
      <c r="D1191" s="1">
        <v>45566</v>
      </c>
    </row>
    <row r="1192" spans="3:4" x14ac:dyDescent="0.35">
      <c r="C1192" t="s">
        <v>113</v>
      </c>
      <c r="D1192">
        <f>D1191-D1181</f>
        <v>183</v>
      </c>
    </row>
    <row r="1193" spans="3:4" x14ac:dyDescent="0.35">
      <c r="C1193" t="s">
        <v>114</v>
      </c>
      <c r="D1193" s="3">
        <v>6.9500000000000006E-2</v>
      </c>
    </row>
    <row r="1194" spans="3:4" x14ac:dyDescent="0.35">
      <c r="C1194" t="s">
        <v>115</v>
      </c>
      <c r="D1194" s="3">
        <v>5.0000000000000001E-3</v>
      </c>
    </row>
    <row r="1195" spans="3:4" x14ac:dyDescent="0.35">
      <c r="C1195" t="s">
        <v>118</v>
      </c>
      <c r="D1195" s="2">
        <f>EDATE(D1181,12)</f>
        <v>45748</v>
      </c>
    </row>
    <row r="1196" spans="3:4" x14ac:dyDescent="0.35">
      <c r="C1196" t="s">
        <v>119</v>
      </c>
      <c r="D1196" s="12">
        <f>D1195-D1181</f>
        <v>365</v>
      </c>
    </row>
    <row r="1197" spans="3:4" x14ac:dyDescent="0.35">
      <c r="C1197" t="s">
        <v>116</v>
      </c>
      <c r="D1197" s="3">
        <f>MIN(D1187,D1193)-D1194</f>
        <v>6.4500000000000002E-2</v>
      </c>
    </row>
    <row r="1198" spans="3:4" x14ac:dyDescent="0.35">
      <c r="D1198" s="3"/>
    </row>
    <row r="1199" spans="3:4" x14ac:dyDescent="0.35">
      <c r="C1199" t="s">
        <v>117</v>
      </c>
      <c r="D1199" s="4">
        <f>D1186+D1186*D1197*D1192/D1196</f>
        <v>206467.67123287672</v>
      </c>
    </row>
    <row r="1201" spans="1:10" x14ac:dyDescent="0.35">
      <c r="C1201" t="s">
        <v>95</v>
      </c>
      <c r="D1201" t="s">
        <v>96</v>
      </c>
      <c r="E1201" t="s">
        <v>97</v>
      </c>
      <c r="F1201" t="s">
        <v>98</v>
      </c>
      <c r="G1201" t="s">
        <v>99</v>
      </c>
    </row>
    <row r="1202" spans="1:10" x14ac:dyDescent="0.35">
      <c r="C1202" s="1">
        <v>45383</v>
      </c>
      <c r="D1202" s="2">
        <f t="shared" ref="D1202:D1207" si="176">EDATE(C1202,1)</f>
        <v>45413</v>
      </c>
      <c r="E1202" s="1">
        <f t="shared" ref="E1202:E1207" si="177">EDATE(C1202,12)</f>
        <v>45748</v>
      </c>
      <c r="F1202">
        <f t="shared" ref="F1202:F1207" si="178">D1202-C1202</f>
        <v>30</v>
      </c>
      <c r="G1202">
        <f t="shared" ref="G1202:G1207" si="179">E1202-C1202</f>
        <v>365</v>
      </c>
      <c r="I1202" t="s">
        <v>100</v>
      </c>
      <c r="J1202" s="7">
        <f>$D$1186*$D$1187*F1202/G1202</f>
        <v>1191.780821917808</v>
      </c>
    </row>
    <row r="1203" spans="1:10" x14ac:dyDescent="0.35">
      <c r="C1203" s="2">
        <f>D1202</f>
        <v>45413</v>
      </c>
      <c r="D1203" s="2">
        <f t="shared" si="176"/>
        <v>45444</v>
      </c>
      <c r="E1203" s="1">
        <f t="shared" si="177"/>
        <v>45778</v>
      </c>
      <c r="F1203">
        <f t="shared" si="178"/>
        <v>31</v>
      </c>
      <c r="G1203">
        <f t="shared" si="179"/>
        <v>365</v>
      </c>
      <c r="I1203" t="s">
        <v>101</v>
      </c>
      <c r="J1203" s="7">
        <f t="shared" ref="J1203:J1207" si="180">$D$1186*$D$1187*F1203/G1203</f>
        <v>1231.5068493150684</v>
      </c>
    </row>
    <row r="1204" spans="1:10" x14ac:dyDescent="0.35">
      <c r="C1204" s="2">
        <f>D1203</f>
        <v>45444</v>
      </c>
      <c r="D1204" s="2">
        <f t="shared" si="176"/>
        <v>45474</v>
      </c>
      <c r="E1204" s="1">
        <f t="shared" si="177"/>
        <v>45809</v>
      </c>
      <c r="F1204">
        <f t="shared" si="178"/>
        <v>30</v>
      </c>
      <c r="G1204">
        <f t="shared" si="179"/>
        <v>365</v>
      </c>
      <c r="I1204" t="s">
        <v>102</v>
      </c>
      <c r="J1204" s="7">
        <f t="shared" si="180"/>
        <v>1191.780821917808</v>
      </c>
    </row>
    <row r="1205" spans="1:10" x14ac:dyDescent="0.35">
      <c r="C1205" s="2">
        <f>D1204</f>
        <v>45474</v>
      </c>
      <c r="D1205" s="2">
        <f t="shared" si="176"/>
        <v>45505</v>
      </c>
      <c r="E1205" s="1">
        <f t="shared" si="177"/>
        <v>45839</v>
      </c>
      <c r="F1205">
        <f t="shared" si="178"/>
        <v>31</v>
      </c>
      <c r="G1205">
        <f t="shared" si="179"/>
        <v>365</v>
      </c>
      <c r="I1205" t="s">
        <v>103</v>
      </c>
      <c r="J1205" s="7">
        <f t="shared" si="180"/>
        <v>1231.5068493150684</v>
      </c>
    </row>
    <row r="1206" spans="1:10" x14ac:dyDescent="0.35">
      <c r="C1206" s="2">
        <f>D1205</f>
        <v>45505</v>
      </c>
      <c r="D1206" s="2">
        <f t="shared" si="176"/>
        <v>45536</v>
      </c>
      <c r="E1206" s="1">
        <f t="shared" si="177"/>
        <v>45870</v>
      </c>
      <c r="F1206">
        <f t="shared" si="178"/>
        <v>31</v>
      </c>
      <c r="G1206">
        <f t="shared" si="179"/>
        <v>365</v>
      </c>
      <c r="I1206" t="s">
        <v>104</v>
      </c>
      <c r="J1206" s="7">
        <f t="shared" si="180"/>
        <v>1231.5068493150684</v>
      </c>
    </row>
    <row r="1207" spans="1:10" x14ac:dyDescent="0.35">
      <c r="C1207" s="2">
        <f>D1206</f>
        <v>45536</v>
      </c>
      <c r="D1207" s="2">
        <f t="shared" si="176"/>
        <v>45566</v>
      </c>
      <c r="E1207" s="1">
        <f t="shared" si="177"/>
        <v>45901</v>
      </c>
      <c r="F1207">
        <f t="shared" si="178"/>
        <v>30</v>
      </c>
      <c r="G1207">
        <f t="shared" si="179"/>
        <v>365</v>
      </c>
      <c r="I1207" t="s">
        <v>105</v>
      </c>
      <c r="J1207" s="7">
        <f t="shared" si="180"/>
        <v>1191.780821917808</v>
      </c>
    </row>
    <row r="1209" spans="1:10" x14ac:dyDescent="0.35">
      <c r="C1209" s="8" t="s">
        <v>128</v>
      </c>
      <c r="D1209" s="20">
        <f>D1199-SUM(J1202:J1207)</f>
        <v>199197.80821917808</v>
      </c>
    </row>
    <row r="1213" spans="1:10" x14ac:dyDescent="0.35">
      <c r="A1213">
        <v>75</v>
      </c>
      <c r="B1213" t="s">
        <v>55</v>
      </c>
      <c r="C1213" t="s">
        <v>82</v>
      </c>
      <c r="D1213" s="1">
        <v>45597</v>
      </c>
    </row>
    <row r="1214" spans="1:10" x14ac:dyDescent="0.35">
      <c r="C1214" t="s">
        <v>83</v>
      </c>
      <c r="D1214" s="2">
        <f>EDATE(D1213,18)</f>
        <v>46143</v>
      </c>
    </row>
    <row r="1215" spans="1:10" x14ac:dyDescent="0.35">
      <c r="C1215" t="s">
        <v>89</v>
      </c>
      <c r="D1215" t="s">
        <v>85</v>
      </c>
    </row>
    <row r="1216" spans="1:10" x14ac:dyDescent="0.35">
      <c r="C1216" t="s">
        <v>90</v>
      </c>
      <c r="D1216" t="s">
        <v>86</v>
      </c>
    </row>
    <row r="1217" spans="3:4" x14ac:dyDescent="0.35">
      <c r="C1217" t="s">
        <v>91</v>
      </c>
      <c r="D1217" s="7">
        <v>80000</v>
      </c>
    </row>
    <row r="1218" spans="3:4" x14ac:dyDescent="0.35">
      <c r="C1218" t="s">
        <v>92</v>
      </c>
      <c r="D1218" s="3">
        <v>8.0500000000000002E-2</v>
      </c>
    </row>
    <row r="1219" spans="3:4" x14ac:dyDescent="0.35">
      <c r="C1219" t="s">
        <v>93</v>
      </c>
      <c r="D1219">
        <f>D1214-D1213</f>
        <v>546</v>
      </c>
    </row>
    <row r="1220" spans="3:4" x14ac:dyDescent="0.35">
      <c r="C1220" t="s">
        <v>94</v>
      </c>
      <c r="D1220" t="s">
        <v>140</v>
      </c>
    </row>
    <row r="1222" spans="3:4" x14ac:dyDescent="0.35">
      <c r="C1222" t="s">
        <v>112</v>
      </c>
      <c r="D1222" s="1">
        <v>45778</v>
      </c>
    </row>
    <row r="1223" spans="3:4" x14ac:dyDescent="0.35">
      <c r="C1223" t="s">
        <v>113</v>
      </c>
      <c r="D1223">
        <f>D1222-D1213</f>
        <v>181</v>
      </c>
    </row>
    <row r="1224" spans="3:4" x14ac:dyDescent="0.35">
      <c r="C1224" t="s">
        <v>114</v>
      </c>
      <c r="D1224" s="3">
        <v>7.4499999999999997E-2</v>
      </c>
    </row>
    <row r="1225" spans="3:4" x14ac:dyDescent="0.35">
      <c r="C1225" t="s">
        <v>115</v>
      </c>
      <c r="D1225" s="3">
        <v>5.0000000000000001E-3</v>
      </c>
    </row>
    <row r="1226" spans="3:4" x14ac:dyDescent="0.35">
      <c r="C1226" t="s">
        <v>118</v>
      </c>
      <c r="D1226" s="2">
        <f>EDATE(D1213,12)</f>
        <v>45962</v>
      </c>
    </row>
    <row r="1227" spans="3:4" x14ac:dyDescent="0.35">
      <c r="C1227" t="s">
        <v>119</v>
      </c>
      <c r="D1227" s="12">
        <f>D1226-D1213</f>
        <v>365</v>
      </c>
    </row>
    <row r="1228" spans="3:4" x14ac:dyDescent="0.35">
      <c r="C1228" t="s">
        <v>116</v>
      </c>
      <c r="D1228" s="3">
        <f>MIN(D1218,D1224)-D1225</f>
        <v>6.9499999999999992E-2</v>
      </c>
    </row>
    <row r="1229" spans="3:4" x14ac:dyDescent="0.35">
      <c r="D1229" s="3"/>
    </row>
    <row r="1230" spans="3:4" x14ac:dyDescent="0.35">
      <c r="C1230" t="s">
        <v>227</v>
      </c>
      <c r="D1230" s="4">
        <f>(1+D1228/4)^(4*D1223/D1227)</f>
        <v>1.034758843182694</v>
      </c>
    </row>
    <row r="1231" spans="3:4" x14ac:dyDescent="0.35">
      <c r="C1231" s="8" t="s">
        <v>120</v>
      </c>
      <c r="D1231" s="20">
        <f>D1217*D1230</f>
        <v>82780.70745461552</v>
      </c>
    </row>
    <row r="1233" spans="1:10" x14ac:dyDescent="0.35">
      <c r="A1233">
        <v>76</v>
      </c>
      <c r="B1233" t="s">
        <v>56</v>
      </c>
      <c r="C1233" t="s">
        <v>82</v>
      </c>
      <c r="D1233" s="1">
        <v>45558</v>
      </c>
    </row>
    <row r="1234" spans="1:10" x14ac:dyDescent="0.35">
      <c r="C1234" t="s">
        <v>83</v>
      </c>
      <c r="D1234" s="2">
        <f>EDATE(D1233,36)</f>
        <v>46653</v>
      </c>
    </row>
    <row r="1235" spans="1:10" x14ac:dyDescent="0.35">
      <c r="C1235" t="s">
        <v>89</v>
      </c>
      <c r="D1235" t="s">
        <v>85</v>
      </c>
    </row>
    <row r="1236" spans="1:10" x14ac:dyDescent="0.35">
      <c r="C1236" t="s">
        <v>90</v>
      </c>
      <c r="D1236" t="s">
        <v>86</v>
      </c>
    </row>
    <row r="1237" spans="1:10" x14ac:dyDescent="0.35">
      <c r="C1237" t="s">
        <v>133</v>
      </c>
      <c r="D1237" t="s">
        <v>125</v>
      </c>
    </row>
    <row r="1238" spans="1:10" x14ac:dyDescent="0.35">
      <c r="C1238" t="s">
        <v>91</v>
      </c>
      <c r="D1238" s="7">
        <v>100000</v>
      </c>
    </row>
    <row r="1239" spans="1:10" x14ac:dyDescent="0.35">
      <c r="C1239" t="s">
        <v>92</v>
      </c>
      <c r="D1239" s="3">
        <v>0.08</v>
      </c>
    </row>
    <row r="1240" spans="1:10" x14ac:dyDescent="0.35">
      <c r="C1240" t="s">
        <v>93</v>
      </c>
      <c r="D1240">
        <f>D1234-D1233</f>
        <v>1095</v>
      </c>
    </row>
    <row r="1241" spans="1:10" x14ac:dyDescent="0.35">
      <c r="C1241" t="s">
        <v>94</v>
      </c>
      <c r="D1241">
        <v>3</v>
      </c>
    </row>
    <row r="1243" spans="1:10" x14ac:dyDescent="0.35">
      <c r="C1243" t="s">
        <v>95</v>
      </c>
      <c r="D1243" t="s">
        <v>96</v>
      </c>
      <c r="E1243" t="s">
        <v>97</v>
      </c>
      <c r="F1243" t="s">
        <v>98</v>
      </c>
      <c r="G1243" t="s">
        <v>99</v>
      </c>
    </row>
    <row r="1244" spans="1:10" x14ac:dyDescent="0.35">
      <c r="C1244" s="1">
        <f>D1233</f>
        <v>45558</v>
      </c>
      <c r="D1244" s="2">
        <f t="shared" ref="D1244" si="181">EDATE(C1244,3)</f>
        <v>45649</v>
      </c>
      <c r="E1244" s="1">
        <f>EDATE(C1244,12)</f>
        <v>45923</v>
      </c>
      <c r="F1244">
        <f>D1244-C1244</f>
        <v>91</v>
      </c>
      <c r="G1244">
        <f>E1244-C1244</f>
        <v>365</v>
      </c>
      <c r="I1244" s="8" t="s">
        <v>100</v>
      </c>
      <c r="J1244" s="9">
        <f>$D$1238*$D$1239*F1244/G1244</f>
        <v>1994.5205479452054</v>
      </c>
    </row>
    <row r="1247" spans="1:10" x14ac:dyDescent="0.35">
      <c r="C1247" t="s">
        <v>228</v>
      </c>
      <c r="D1247" s="7">
        <f>J1244</f>
        <v>1994.5205479452054</v>
      </c>
    </row>
    <row r="1248" spans="1:10" x14ac:dyDescent="0.35">
      <c r="C1248" t="s">
        <v>229</v>
      </c>
      <c r="D1248" s="7">
        <f>J1244</f>
        <v>1994.5205479452054</v>
      </c>
    </row>
    <row r="1249" spans="1:4" x14ac:dyDescent="0.35">
      <c r="C1249" t="s">
        <v>230</v>
      </c>
      <c r="D1249">
        <f>J1244*0.95</f>
        <v>1894.794520547945</v>
      </c>
    </row>
    <row r="1250" spans="1:4" x14ac:dyDescent="0.35">
      <c r="C1250" t="s">
        <v>231</v>
      </c>
      <c r="D1250">
        <f>J1244*0.9</f>
        <v>1795.0684931506848</v>
      </c>
    </row>
    <row r="1251" spans="1:4" x14ac:dyDescent="0.35">
      <c r="C1251" s="37" t="s">
        <v>232</v>
      </c>
      <c r="D1251" s="37">
        <f>J1244*0.8</f>
        <v>1595.6164383561645</v>
      </c>
    </row>
    <row r="1254" spans="1:4" x14ac:dyDescent="0.35">
      <c r="C1254" t="s">
        <v>233</v>
      </c>
    </row>
    <row r="1256" spans="1:4" x14ac:dyDescent="0.35">
      <c r="A1256">
        <v>77</v>
      </c>
      <c r="B1256" t="s">
        <v>57</v>
      </c>
      <c r="C1256" t="s">
        <v>82</v>
      </c>
      <c r="D1256" s="1">
        <v>45658</v>
      </c>
    </row>
    <row r="1257" spans="1:4" x14ac:dyDescent="0.35">
      <c r="C1257" t="s">
        <v>83</v>
      </c>
      <c r="D1257" s="2">
        <f>EDATE(D1256,24)</f>
        <v>46388</v>
      </c>
    </row>
    <row r="1258" spans="1:4" x14ac:dyDescent="0.35">
      <c r="C1258" t="s">
        <v>89</v>
      </c>
      <c r="D1258" t="s">
        <v>85</v>
      </c>
    </row>
    <row r="1259" spans="1:4" x14ac:dyDescent="0.35">
      <c r="C1259" t="s">
        <v>90</v>
      </c>
      <c r="D1259" t="s">
        <v>86</v>
      </c>
    </row>
    <row r="1260" spans="1:4" x14ac:dyDescent="0.35">
      <c r="C1260" t="s">
        <v>133</v>
      </c>
      <c r="D1260" t="s">
        <v>125</v>
      </c>
    </row>
    <row r="1261" spans="1:4" x14ac:dyDescent="0.35">
      <c r="C1261" t="s">
        <v>91</v>
      </c>
      <c r="D1261" s="7">
        <v>200000</v>
      </c>
    </row>
    <row r="1262" spans="1:4" x14ac:dyDescent="0.35">
      <c r="C1262" t="s">
        <v>92</v>
      </c>
      <c r="D1262" s="3">
        <v>7.4499999999999997E-2</v>
      </c>
    </row>
    <row r="1263" spans="1:4" x14ac:dyDescent="0.35">
      <c r="C1263" t="s">
        <v>93</v>
      </c>
      <c r="D1263">
        <f>D1257-D1256</f>
        <v>730</v>
      </c>
    </row>
    <row r="1264" spans="1:4" x14ac:dyDescent="0.35">
      <c r="C1264" t="s">
        <v>94</v>
      </c>
      <c r="D1264">
        <v>2</v>
      </c>
    </row>
    <row r="1266" spans="1:10" x14ac:dyDescent="0.35">
      <c r="C1266" t="s">
        <v>95</v>
      </c>
      <c r="D1266" t="s">
        <v>96</v>
      </c>
      <c r="E1266" t="s">
        <v>97</v>
      </c>
      <c r="F1266" t="s">
        <v>98</v>
      </c>
      <c r="G1266" t="s">
        <v>99</v>
      </c>
    </row>
    <row r="1267" spans="1:10" x14ac:dyDescent="0.35">
      <c r="C1267" s="1">
        <f>D1256</f>
        <v>45658</v>
      </c>
      <c r="D1267" s="2">
        <f t="shared" ref="D1267" si="182">EDATE(C1267,3)</f>
        <v>45748</v>
      </c>
      <c r="E1267" s="1">
        <f>EDATE(C1267,12)</f>
        <v>46023</v>
      </c>
      <c r="F1267">
        <f>D1267-C1267</f>
        <v>90</v>
      </c>
      <c r="G1267">
        <f>E1267-C1267</f>
        <v>365</v>
      </c>
      <c r="I1267" s="8" t="s">
        <v>100</v>
      </c>
      <c r="J1267" s="9">
        <f>D1261*D1262*F1267/G1267</f>
        <v>3673.972602739726</v>
      </c>
    </row>
    <row r="1270" spans="1:10" x14ac:dyDescent="0.35">
      <c r="C1270" t="s">
        <v>228</v>
      </c>
      <c r="D1270" s="7">
        <f>J1267</f>
        <v>3673.972602739726</v>
      </c>
    </row>
    <row r="1271" spans="1:10" x14ac:dyDescent="0.35">
      <c r="C1271" t="s">
        <v>229</v>
      </c>
      <c r="D1271" s="7">
        <f>J1267</f>
        <v>3673.972602739726</v>
      </c>
    </row>
    <row r="1272" spans="1:10" x14ac:dyDescent="0.35">
      <c r="C1272" t="s">
        <v>230</v>
      </c>
      <c r="D1272">
        <f>J1267*0.95</f>
        <v>3490.2739726027394</v>
      </c>
    </row>
    <row r="1273" spans="1:10" x14ac:dyDescent="0.35">
      <c r="C1273" t="s">
        <v>231</v>
      </c>
      <c r="D1273">
        <f>J1267*0.9</f>
        <v>3306.5753424657532</v>
      </c>
    </row>
    <row r="1274" spans="1:10" x14ac:dyDescent="0.35">
      <c r="C1274" t="s">
        <v>232</v>
      </c>
      <c r="D1274">
        <f>J1267*0.8</f>
        <v>2939.178082191781</v>
      </c>
    </row>
    <row r="1276" spans="1:10" x14ac:dyDescent="0.35">
      <c r="C1276" s="37" t="s">
        <v>234</v>
      </c>
    </row>
    <row r="1278" spans="1:10" x14ac:dyDescent="0.35">
      <c r="A1278">
        <v>78</v>
      </c>
      <c r="B1278" t="s">
        <v>58</v>
      </c>
      <c r="C1278" t="s">
        <v>82</v>
      </c>
      <c r="D1278" s="1">
        <v>45748</v>
      </c>
    </row>
    <row r="1279" spans="1:10" x14ac:dyDescent="0.35">
      <c r="C1279" t="s">
        <v>83</v>
      </c>
      <c r="D1279" s="2">
        <f>EDATE(D1278,36)</f>
        <v>46844</v>
      </c>
    </row>
    <row r="1280" spans="1:10" x14ac:dyDescent="0.35">
      <c r="C1280" t="s">
        <v>89</v>
      </c>
      <c r="D1280" t="s">
        <v>85</v>
      </c>
    </row>
    <row r="1281" spans="3:10" x14ac:dyDescent="0.35">
      <c r="C1281" t="s">
        <v>90</v>
      </c>
      <c r="D1281" t="s">
        <v>84</v>
      </c>
    </row>
    <row r="1282" spans="3:10" x14ac:dyDescent="0.35">
      <c r="C1282" t="s">
        <v>133</v>
      </c>
      <c r="D1282" t="s">
        <v>125</v>
      </c>
    </row>
    <row r="1283" spans="3:10" x14ac:dyDescent="0.35">
      <c r="C1283" t="s">
        <v>91</v>
      </c>
      <c r="D1283" s="7">
        <v>100000</v>
      </c>
    </row>
    <row r="1284" spans="3:10" x14ac:dyDescent="0.35">
      <c r="C1284" t="s">
        <v>92</v>
      </c>
      <c r="D1284" s="3">
        <v>6.8000000000000005E-2</v>
      </c>
    </row>
    <row r="1285" spans="3:10" x14ac:dyDescent="0.35">
      <c r="C1285" t="s">
        <v>93</v>
      </c>
      <c r="D1285">
        <f>D1279-D1278</f>
        <v>1096</v>
      </c>
    </row>
    <row r="1286" spans="3:10" x14ac:dyDescent="0.35">
      <c r="C1286" t="s">
        <v>94</v>
      </c>
      <c r="D1286">
        <v>3</v>
      </c>
    </row>
    <row r="1288" spans="3:10" x14ac:dyDescent="0.35">
      <c r="C1288" t="s">
        <v>95</v>
      </c>
      <c r="D1288" t="s">
        <v>96</v>
      </c>
      <c r="E1288" t="s">
        <v>97</v>
      </c>
      <c r="F1288" t="s">
        <v>98</v>
      </c>
      <c r="G1288" t="s">
        <v>99</v>
      </c>
    </row>
    <row r="1289" spans="3:10" x14ac:dyDescent="0.35">
      <c r="C1289" s="1">
        <f>D1278</f>
        <v>45748</v>
      </c>
      <c r="D1289" s="2">
        <f t="shared" ref="D1289" si="183">EDATE(C1289,3)</f>
        <v>45839</v>
      </c>
      <c r="E1289" s="1">
        <f>EDATE(C1289,12)</f>
        <v>46113</v>
      </c>
      <c r="F1289">
        <f>D1289-C1289</f>
        <v>91</v>
      </c>
      <c r="G1289">
        <f>E1289-C1289</f>
        <v>365</v>
      </c>
      <c r="I1289" s="8" t="s">
        <v>100</v>
      </c>
      <c r="J1289" s="9">
        <f>D1283*D1284*F1289/G1289</f>
        <v>1695.3424657534249</v>
      </c>
    </row>
    <row r="1292" spans="3:10" x14ac:dyDescent="0.35">
      <c r="C1292" t="s">
        <v>228</v>
      </c>
      <c r="D1292" s="7">
        <f>J1289</f>
        <v>1695.3424657534249</v>
      </c>
    </row>
    <row r="1293" spans="3:10" x14ac:dyDescent="0.35">
      <c r="C1293" t="s">
        <v>229</v>
      </c>
      <c r="D1293" s="7">
        <f>J1289</f>
        <v>1695.3424657534249</v>
      </c>
    </row>
    <row r="1294" spans="3:10" x14ac:dyDescent="0.35">
      <c r="C1294" t="s">
        <v>230</v>
      </c>
      <c r="D1294">
        <f>J1289*0.95</f>
        <v>1610.5753424657537</v>
      </c>
    </row>
    <row r="1295" spans="3:10" x14ac:dyDescent="0.35">
      <c r="C1295" t="s">
        <v>231</v>
      </c>
      <c r="D1295">
        <f>J1289*0.9</f>
        <v>1525.8082191780825</v>
      </c>
    </row>
    <row r="1296" spans="3:10" x14ac:dyDescent="0.35">
      <c r="C1296" t="s">
        <v>232</v>
      </c>
      <c r="D1296">
        <f>J1289*0.8</f>
        <v>1356.2739726027401</v>
      </c>
    </row>
    <row r="1298" spans="1:10" x14ac:dyDescent="0.35">
      <c r="A1298">
        <v>79</v>
      </c>
      <c r="B1298" t="s">
        <v>59</v>
      </c>
      <c r="C1298" t="s">
        <v>82</v>
      </c>
      <c r="D1298" s="1">
        <v>45658</v>
      </c>
    </row>
    <row r="1299" spans="1:10" x14ac:dyDescent="0.35">
      <c r="C1299" t="s">
        <v>83</v>
      </c>
      <c r="D1299" s="2">
        <f>EDATE(D1298,24)</f>
        <v>46388</v>
      </c>
    </row>
    <row r="1300" spans="1:10" x14ac:dyDescent="0.35">
      <c r="C1300" t="s">
        <v>124</v>
      </c>
      <c r="D1300" s="2" t="s">
        <v>125</v>
      </c>
    </row>
    <row r="1301" spans="1:10" x14ac:dyDescent="0.35">
      <c r="C1301" t="s">
        <v>89</v>
      </c>
      <c r="D1301" t="s">
        <v>85</v>
      </c>
    </row>
    <row r="1302" spans="1:10" x14ac:dyDescent="0.35">
      <c r="C1302" t="s">
        <v>90</v>
      </c>
      <c r="D1302" t="s">
        <v>86</v>
      </c>
    </row>
    <row r="1303" spans="1:10" x14ac:dyDescent="0.35">
      <c r="C1303" t="s">
        <v>91</v>
      </c>
      <c r="D1303" s="7">
        <v>200000</v>
      </c>
    </row>
    <row r="1304" spans="1:10" x14ac:dyDescent="0.35">
      <c r="C1304" t="s">
        <v>92</v>
      </c>
      <c r="D1304" s="3">
        <v>7.4499999999999997E-2</v>
      </c>
    </row>
    <row r="1305" spans="1:10" x14ac:dyDescent="0.35">
      <c r="C1305" t="s">
        <v>93</v>
      </c>
      <c r="D1305">
        <f>D1299-D1298</f>
        <v>730</v>
      </c>
    </row>
    <row r="1306" spans="1:10" x14ac:dyDescent="0.35">
      <c r="C1306" t="s">
        <v>94</v>
      </c>
      <c r="D1306">
        <v>2</v>
      </c>
    </row>
    <row r="1307" spans="1:10" x14ac:dyDescent="0.35">
      <c r="F1307" s="19"/>
    </row>
    <row r="1308" spans="1:10" x14ac:dyDescent="0.35">
      <c r="C1308" t="s">
        <v>95</v>
      </c>
      <c r="D1308" t="s">
        <v>96</v>
      </c>
      <c r="E1308" t="s">
        <v>97</v>
      </c>
      <c r="F1308" t="s">
        <v>98</v>
      </c>
      <c r="G1308" t="s">
        <v>99</v>
      </c>
    </row>
    <row r="1309" spans="1:10" x14ac:dyDescent="0.35">
      <c r="C1309" s="1">
        <v>45658</v>
      </c>
      <c r="D1309" s="2">
        <f t="shared" ref="D1309:D1316" si="184">EDATE(C1309,3)</f>
        <v>45748</v>
      </c>
      <c r="E1309" s="2">
        <f t="shared" ref="E1309:E1316" si="185">EDATE(C1309,12)</f>
        <v>46023</v>
      </c>
      <c r="F1309">
        <f t="shared" ref="F1309:F1316" si="186">D1309-C1309</f>
        <v>90</v>
      </c>
      <c r="G1309">
        <f t="shared" ref="G1309:G1316" si="187">E1309-C1309</f>
        <v>365</v>
      </c>
      <c r="H1309" t="s">
        <v>111</v>
      </c>
      <c r="I1309" s="2" t="s">
        <v>100</v>
      </c>
      <c r="J1309">
        <f>$D$1303*$D$1304*F1309/G1309</f>
        <v>3673.972602739726</v>
      </c>
    </row>
    <row r="1310" spans="1:10" x14ac:dyDescent="0.35">
      <c r="C1310" s="2">
        <f t="shared" ref="C1310:C1316" si="188">D1309</f>
        <v>45748</v>
      </c>
      <c r="D1310" s="2">
        <f t="shared" si="184"/>
        <v>45839</v>
      </c>
      <c r="E1310" s="2">
        <f t="shared" si="185"/>
        <v>46113</v>
      </c>
      <c r="F1310">
        <f t="shared" si="186"/>
        <v>91</v>
      </c>
      <c r="G1310">
        <f t="shared" si="187"/>
        <v>365</v>
      </c>
      <c r="I1310" t="s">
        <v>101</v>
      </c>
      <c r="J1310">
        <f t="shared" ref="J1310:J1316" si="189">$D$1303*$D$1304*F1310/G1310</f>
        <v>3714.794520547945</v>
      </c>
    </row>
    <row r="1311" spans="1:10" x14ac:dyDescent="0.35">
      <c r="C1311" s="2">
        <f t="shared" si="188"/>
        <v>45839</v>
      </c>
      <c r="D1311" s="2">
        <f t="shared" si="184"/>
        <v>45931</v>
      </c>
      <c r="E1311" s="2">
        <f t="shared" si="185"/>
        <v>46204</v>
      </c>
      <c r="F1311">
        <f t="shared" si="186"/>
        <v>92</v>
      </c>
      <c r="G1311">
        <f t="shared" si="187"/>
        <v>365</v>
      </c>
      <c r="I1311" s="2" t="s">
        <v>102</v>
      </c>
      <c r="J1311">
        <f t="shared" si="189"/>
        <v>3755.6164383561645</v>
      </c>
    </row>
    <row r="1312" spans="1:10" x14ac:dyDescent="0.35">
      <c r="C1312" s="2">
        <f t="shared" si="188"/>
        <v>45931</v>
      </c>
      <c r="D1312" s="2">
        <f t="shared" si="184"/>
        <v>46023</v>
      </c>
      <c r="E1312" s="2">
        <f t="shared" si="185"/>
        <v>46296</v>
      </c>
      <c r="F1312">
        <f t="shared" si="186"/>
        <v>92</v>
      </c>
      <c r="G1312">
        <f t="shared" si="187"/>
        <v>365</v>
      </c>
      <c r="I1312" t="s">
        <v>103</v>
      </c>
      <c r="J1312">
        <f t="shared" si="189"/>
        <v>3755.6164383561645</v>
      </c>
    </row>
    <row r="1313" spans="1:10" x14ac:dyDescent="0.35">
      <c r="C1313" s="2">
        <f t="shared" si="188"/>
        <v>46023</v>
      </c>
      <c r="D1313" s="2">
        <f t="shared" si="184"/>
        <v>46113</v>
      </c>
      <c r="E1313" s="2">
        <f t="shared" si="185"/>
        <v>46388</v>
      </c>
      <c r="F1313">
        <f t="shared" si="186"/>
        <v>90</v>
      </c>
      <c r="G1313">
        <f t="shared" si="187"/>
        <v>365</v>
      </c>
      <c r="I1313" s="2" t="s">
        <v>104</v>
      </c>
      <c r="J1313">
        <f t="shared" si="189"/>
        <v>3673.972602739726</v>
      </c>
    </row>
    <row r="1314" spans="1:10" x14ac:dyDescent="0.35">
      <c r="C1314" s="2">
        <f t="shared" si="188"/>
        <v>46113</v>
      </c>
      <c r="D1314" s="2">
        <f t="shared" si="184"/>
        <v>46204</v>
      </c>
      <c r="E1314" s="2">
        <f t="shared" si="185"/>
        <v>46478</v>
      </c>
      <c r="F1314">
        <f t="shared" si="186"/>
        <v>91</v>
      </c>
      <c r="G1314">
        <f t="shared" si="187"/>
        <v>365</v>
      </c>
      <c r="I1314" s="2" t="s">
        <v>105</v>
      </c>
      <c r="J1314">
        <f t="shared" si="189"/>
        <v>3714.794520547945</v>
      </c>
    </row>
    <row r="1315" spans="1:10" x14ac:dyDescent="0.35">
      <c r="C1315" s="2">
        <f t="shared" si="188"/>
        <v>46204</v>
      </c>
      <c r="D1315" s="2">
        <f t="shared" si="184"/>
        <v>46296</v>
      </c>
      <c r="E1315" s="2">
        <f t="shared" si="185"/>
        <v>46569</v>
      </c>
      <c r="F1315">
        <f t="shared" si="186"/>
        <v>92</v>
      </c>
      <c r="G1315">
        <f t="shared" si="187"/>
        <v>365</v>
      </c>
      <c r="I1315" t="s">
        <v>106</v>
      </c>
      <c r="J1315">
        <f t="shared" si="189"/>
        <v>3755.6164383561645</v>
      </c>
    </row>
    <row r="1316" spans="1:10" x14ac:dyDescent="0.35">
      <c r="C1316" s="2">
        <f t="shared" si="188"/>
        <v>46296</v>
      </c>
      <c r="D1316" s="2">
        <f t="shared" si="184"/>
        <v>46388</v>
      </c>
      <c r="E1316" s="2">
        <f t="shared" si="185"/>
        <v>46661</v>
      </c>
      <c r="F1316">
        <f t="shared" si="186"/>
        <v>92</v>
      </c>
      <c r="G1316">
        <f t="shared" si="187"/>
        <v>365</v>
      </c>
      <c r="I1316" s="2" t="s">
        <v>107</v>
      </c>
      <c r="J1316">
        <f t="shared" si="189"/>
        <v>3755.6164383561645</v>
      </c>
    </row>
    <row r="1317" spans="1:10" x14ac:dyDescent="0.35">
      <c r="F1317" s="19"/>
    </row>
    <row r="1318" spans="1:10" x14ac:dyDescent="0.35">
      <c r="C1318" t="s">
        <v>228</v>
      </c>
      <c r="D1318" s="7">
        <f>$J$1309</f>
        <v>3673.972602739726</v>
      </c>
      <c r="F1318" s="19"/>
    </row>
    <row r="1319" spans="1:10" x14ac:dyDescent="0.35">
      <c r="C1319" t="s">
        <v>229</v>
      </c>
      <c r="D1319" s="7">
        <f>$J$1309</f>
        <v>3673.972602739726</v>
      </c>
    </row>
    <row r="1320" spans="1:10" x14ac:dyDescent="0.35">
      <c r="C1320" t="s">
        <v>230</v>
      </c>
      <c r="D1320" s="7">
        <f>$J$1309*0.95</f>
        <v>3490.2739726027394</v>
      </c>
    </row>
    <row r="1321" spans="1:10" x14ac:dyDescent="0.35">
      <c r="C1321" t="s">
        <v>231</v>
      </c>
      <c r="D1321" s="7">
        <f>$J$1309*0.9</f>
        <v>3306.5753424657532</v>
      </c>
    </row>
    <row r="1322" spans="1:10" x14ac:dyDescent="0.35">
      <c r="C1322" t="s">
        <v>232</v>
      </c>
      <c r="D1322" s="7">
        <f>$J$1309*0.8</f>
        <v>2939.178082191781</v>
      </c>
    </row>
    <row r="1324" spans="1:10" x14ac:dyDescent="0.35">
      <c r="A1324">
        <v>80</v>
      </c>
      <c r="B1324" t="s">
        <v>60</v>
      </c>
      <c r="C1324" t="s">
        <v>82</v>
      </c>
      <c r="D1324" s="1">
        <v>45672</v>
      </c>
    </row>
    <row r="1325" spans="1:10" x14ac:dyDescent="0.35">
      <c r="C1325" t="s">
        <v>83</v>
      </c>
      <c r="D1325" s="2">
        <f>EDATE(D1324,24)</f>
        <v>46402</v>
      </c>
    </row>
    <row r="1326" spans="1:10" x14ac:dyDescent="0.35">
      <c r="C1326" t="s">
        <v>89</v>
      </c>
      <c r="D1326" t="s">
        <v>85</v>
      </c>
    </row>
    <row r="1327" spans="1:10" x14ac:dyDescent="0.35">
      <c r="C1327" t="s">
        <v>90</v>
      </c>
      <c r="D1327" t="s">
        <v>84</v>
      </c>
    </row>
    <row r="1328" spans="1:10" x14ac:dyDescent="0.35">
      <c r="C1328" t="s">
        <v>133</v>
      </c>
      <c r="D1328" t="s">
        <v>125</v>
      </c>
    </row>
    <row r="1329" spans="3:10" x14ac:dyDescent="0.35">
      <c r="C1329" t="s">
        <v>91</v>
      </c>
      <c r="D1329" s="7">
        <v>300000</v>
      </c>
    </row>
    <row r="1330" spans="3:10" x14ac:dyDescent="0.35">
      <c r="C1330" t="s">
        <v>92</v>
      </c>
      <c r="D1330" s="3">
        <v>6.9500000000000006E-2</v>
      </c>
    </row>
    <row r="1331" spans="3:10" x14ac:dyDescent="0.35">
      <c r="C1331" t="s">
        <v>93</v>
      </c>
      <c r="D1331">
        <f>D1325-D1324</f>
        <v>730</v>
      </c>
    </row>
    <row r="1332" spans="3:10" x14ac:dyDescent="0.35">
      <c r="C1332" t="s">
        <v>94</v>
      </c>
      <c r="D1332">
        <v>2</v>
      </c>
    </row>
    <row r="1334" spans="3:10" x14ac:dyDescent="0.35">
      <c r="C1334" t="s">
        <v>95</v>
      </c>
      <c r="D1334" t="s">
        <v>96</v>
      </c>
      <c r="E1334" t="s">
        <v>97</v>
      </c>
      <c r="F1334" t="s">
        <v>98</v>
      </c>
      <c r="G1334" t="s">
        <v>99</v>
      </c>
    </row>
    <row r="1335" spans="3:10" x14ac:dyDescent="0.35">
      <c r="C1335" s="1">
        <f>D1324</f>
        <v>45672</v>
      </c>
      <c r="D1335" s="2">
        <f t="shared" ref="D1335" si="190">EDATE(C1335,3)</f>
        <v>45762</v>
      </c>
      <c r="E1335" s="1">
        <f>EDATE(C1335,12)</f>
        <v>46037</v>
      </c>
      <c r="F1335">
        <f>D1335-C1335</f>
        <v>90</v>
      </c>
      <c r="G1335">
        <f>E1335-C1335</f>
        <v>365</v>
      </c>
      <c r="I1335" s="8" t="s">
        <v>100</v>
      </c>
      <c r="J1335" s="9">
        <f>D1329*D1330*F1335/G1335</f>
        <v>5141.0958904109593</v>
      </c>
    </row>
    <row r="1338" spans="3:10" x14ac:dyDescent="0.35">
      <c r="C1338" t="s">
        <v>228</v>
      </c>
      <c r="D1338" s="4">
        <f>J1335</f>
        <v>5141.0958904109593</v>
      </c>
    </row>
    <row r="1339" spans="3:10" x14ac:dyDescent="0.35">
      <c r="C1339" t="s">
        <v>229</v>
      </c>
      <c r="D1339" s="4">
        <f>J1335</f>
        <v>5141.0958904109593</v>
      </c>
    </row>
    <row r="1340" spans="3:10" x14ac:dyDescent="0.35">
      <c r="C1340" t="s">
        <v>230</v>
      </c>
      <c r="D1340" s="4">
        <f>J1335*0.95</f>
        <v>4884.0410958904113</v>
      </c>
    </row>
    <row r="1341" spans="3:10" x14ac:dyDescent="0.35">
      <c r="C1341" t="s">
        <v>231</v>
      </c>
      <c r="D1341" s="4">
        <f>J1335*0.9</f>
        <v>4626.9863013698632</v>
      </c>
    </row>
    <row r="1342" spans="3:10" x14ac:dyDescent="0.35">
      <c r="C1342" t="s">
        <v>232</v>
      </c>
      <c r="D1342" s="4">
        <f>J1335*0.8</f>
        <v>4112.876712328768</v>
      </c>
    </row>
    <row r="1344" spans="3:10" x14ac:dyDescent="0.35">
      <c r="C1344" s="37" t="s">
        <v>235</v>
      </c>
    </row>
    <row r="1346" spans="1:4" x14ac:dyDescent="0.35">
      <c r="A1346">
        <v>81</v>
      </c>
      <c r="B1346" t="s">
        <v>61</v>
      </c>
    </row>
    <row r="1348" spans="1:4" ht="275.5" x14ac:dyDescent="0.35">
      <c r="C1348" s="42" t="s">
        <v>251</v>
      </c>
    </row>
    <row r="1350" spans="1:4" x14ac:dyDescent="0.35">
      <c r="A1350">
        <v>82</v>
      </c>
      <c r="B1350" t="s">
        <v>62</v>
      </c>
      <c r="C1350" t="s">
        <v>82</v>
      </c>
      <c r="D1350" s="1">
        <v>45748</v>
      </c>
    </row>
    <row r="1351" spans="1:4" x14ac:dyDescent="0.35">
      <c r="C1351" t="s">
        <v>83</v>
      </c>
      <c r="D1351" s="2">
        <f>EDATE(D1350,24)</f>
        <v>46478</v>
      </c>
    </row>
    <row r="1352" spans="1:4" x14ac:dyDescent="0.35">
      <c r="C1352" t="s">
        <v>89</v>
      </c>
      <c r="D1352" t="s">
        <v>85</v>
      </c>
    </row>
    <row r="1353" spans="1:4" x14ac:dyDescent="0.35">
      <c r="C1353" t="s">
        <v>90</v>
      </c>
      <c r="D1353" t="s">
        <v>84</v>
      </c>
    </row>
    <row r="1354" spans="1:4" x14ac:dyDescent="0.35">
      <c r="C1354" t="s">
        <v>133</v>
      </c>
      <c r="D1354" t="s">
        <v>211</v>
      </c>
    </row>
    <row r="1355" spans="1:4" x14ac:dyDescent="0.35">
      <c r="C1355" t="s">
        <v>91</v>
      </c>
      <c r="D1355" s="7">
        <v>500000</v>
      </c>
    </row>
    <row r="1356" spans="1:4" x14ac:dyDescent="0.35">
      <c r="C1356" t="s">
        <v>92</v>
      </c>
      <c r="D1356" s="3">
        <v>6.9500000000000006E-2</v>
      </c>
    </row>
    <row r="1357" spans="1:4" x14ac:dyDescent="0.35">
      <c r="C1357" t="s">
        <v>93</v>
      </c>
      <c r="D1357">
        <f>D1351-D1350</f>
        <v>730</v>
      </c>
    </row>
    <row r="1358" spans="1:4" x14ac:dyDescent="0.35">
      <c r="C1358" t="s">
        <v>94</v>
      </c>
      <c r="D1358">
        <v>2</v>
      </c>
    </row>
    <row r="1360" spans="1:4" x14ac:dyDescent="0.35">
      <c r="C1360" t="s">
        <v>95</v>
      </c>
      <c r="D1360" t="s">
        <v>96</v>
      </c>
    </row>
    <row r="1361" spans="3:4" x14ac:dyDescent="0.35">
      <c r="C1361" s="1">
        <f>D1350</f>
        <v>45748</v>
      </c>
      <c r="D1361" s="2">
        <f>D1351</f>
        <v>46478</v>
      </c>
    </row>
    <row r="1363" spans="3:4" x14ac:dyDescent="0.35">
      <c r="C1363" t="s">
        <v>212</v>
      </c>
      <c r="D1363">
        <f>(1+D1356/4)^(4*D1358)</f>
        <v>1.1477531461860282</v>
      </c>
    </row>
    <row r="1364" spans="3:4" x14ac:dyDescent="0.35">
      <c r="C1364" t="s">
        <v>213</v>
      </c>
      <c r="D1364" s="4">
        <f>D1355*D1363</f>
        <v>573876.57309301407</v>
      </c>
    </row>
    <row r="1365" spans="3:4" x14ac:dyDescent="0.35">
      <c r="C1365" t="s">
        <v>214</v>
      </c>
      <c r="D1365" s="38">
        <f>D1364-D1355</f>
        <v>73876.573093014071</v>
      </c>
    </row>
    <row r="1368" spans="3:4" x14ac:dyDescent="0.35">
      <c r="C1368" t="s">
        <v>82</v>
      </c>
      <c r="D1368" s="1">
        <v>45748</v>
      </c>
    </row>
    <row r="1369" spans="3:4" x14ac:dyDescent="0.35">
      <c r="C1369" t="s">
        <v>83</v>
      </c>
      <c r="D1369" s="2">
        <f>EDATE(D1368,36)</f>
        <v>46844</v>
      </c>
    </row>
    <row r="1370" spans="3:4" x14ac:dyDescent="0.35">
      <c r="C1370" t="s">
        <v>89</v>
      </c>
      <c r="D1370" t="s">
        <v>85</v>
      </c>
    </row>
    <row r="1371" spans="3:4" x14ac:dyDescent="0.35">
      <c r="C1371" t="s">
        <v>90</v>
      </c>
      <c r="D1371" t="s">
        <v>84</v>
      </c>
    </row>
    <row r="1372" spans="3:4" x14ac:dyDescent="0.35">
      <c r="C1372" t="s">
        <v>133</v>
      </c>
      <c r="D1372" t="s">
        <v>211</v>
      </c>
    </row>
    <row r="1373" spans="3:4" x14ac:dyDescent="0.35">
      <c r="C1373" t="s">
        <v>91</v>
      </c>
      <c r="D1373" s="7">
        <v>500000</v>
      </c>
    </row>
    <row r="1374" spans="3:4" x14ac:dyDescent="0.35">
      <c r="C1374" t="s">
        <v>92</v>
      </c>
      <c r="D1374" s="3">
        <v>6.8000000000000005E-2</v>
      </c>
    </row>
    <row r="1375" spans="3:4" x14ac:dyDescent="0.35">
      <c r="C1375" t="s">
        <v>93</v>
      </c>
      <c r="D1375">
        <f>D1369-D1368</f>
        <v>1096</v>
      </c>
    </row>
    <row r="1376" spans="3:4" x14ac:dyDescent="0.35">
      <c r="C1376" t="s">
        <v>94</v>
      </c>
      <c r="D1376">
        <v>3</v>
      </c>
    </row>
    <row r="1378" spans="1:4" x14ac:dyDescent="0.35">
      <c r="C1378" t="s">
        <v>95</v>
      </c>
      <c r="D1378" t="s">
        <v>96</v>
      </c>
    </row>
    <row r="1379" spans="1:4" x14ac:dyDescent="0.35">
      <c r="C1379" s="1">
        <f>D1368</f>
        <v>45748</v>
      </c>
      <c r="D1379" s="2">
        <f>D1369</f>
        <v>46844</v>
      </c>
    </row>
    <row r="1381" spans="1:4" x14ac:dyDescent="0.35">
      <c r="C1381" t="s">
        <v>212</v>
      </c>
      <c r="D1381">
        <f>(1+D1374/4)^(4*D1376)</f>
        <v>1.2241973500533239</v>
      </c>
    </row>
    <row r="1382" spans="1:4" x14ac:dyDescent="0.35">
      <c r="C1382" t="s">
        <v>213</v>
      </c>
      <c r="D1382" s="4">
        <f>D1373*D1381</f>
        <v>612098.67502666195</v>
      </c>
    </row>
    <row r="1383" spans="1:4" x14ac:dyDescent="0.35">
      <c r="C1383" t="s">
        <v>214</v>
      </c>
      <c r="D1383" s="38">
        <f>D1382-D1373</f>
        <v>112098.67502666195</v>
      </c>
    </row>
    <row r="1386" spans="1:4" x14ac:dyDescent="0.35">
      <c r="C1386" s="37" t="s">
        <v>236</v>
      </c>
    </row>
    <row r="1388" spans="1:4" x14ac:dyDescent="0.35">
      <c r="A1388">
        <v>83</v>
      </c>
      <c r="B1388" t="s">
        <v>63</v>
      </c>
    </row>
    <row r="1389" spans="1:4" x14ac:dyDescent="0.35">
      <c r="C1389" s="37" t="s">
        <v>237</v>
      </c>
    </row>
    <row r="1391" spans="1:4" x14ac:dyDescent="0.35">
      <c r="A1391">
        <v>84</v>
      </c>
      <c r="B1391" t="s">
        <v>64</v>
      </c>
    </row>
    <row r="1392" spans="1:4" x14ac:dyDescent="0.35">
      <c r="C1392" s="37" t="s">
        <v>252</v>
      </c>
    </row>
    <row r="1394" spans="1:4" x14ac:dyDescent="0.35">
      <c r="A1394">
        <v>85</v>
      </c>
      <c r="B1394" t="s">
        <v>65</v>
      </c>
    </row>
    <row r="1395" spans="1:4" x14ac:dyDescent="0.35">
      <c r="C1395" s="37" t="s">
        <v>238</v>
      </c>
    </row>
    <row r="1396" spans="1:4" x14ac:dyDescent="0.35">
      <c r="A1396">
        <v>86</v>
      </c>
      <c r="B1396" t="s">
        <v>66</v>
      </c>
      <c r="C1396" s="37" t="s">
        <v>239</v>
      </c>
    </row>
    <row r="1398" spans="1:4" x14ac:dyDescent="0.35">
      <c r="A1398">
        <v>87</v>
      </c>
      <c r="B1398" t="s">
        <v>67</v>
      </c>
      <c r="C1398" t="s">
        <v>82</v>
      </c>
      <c r="D1398" s="1">
        <v>45658</v>
      </c>
    </row>
    <row r="1399" spans="1:4" x14ac:dyDescent="0.35">
      <c r="C1399" t="s">
        <v>83</v>
      </c>
      <c r="D1399" s="2">
        <f>EDATE(D1398,24)</f>
        <v>46388</v>
      </c>
    </row>
    <row r="1400" spans="1:4" x14ac:dyDescent="0.35">
      <c r="C1400" t="s">
        <v>89</v>
      </c>
      <c r="D1400" t="s">
        <v>85</v>
      </c>
    </row>
    <row r="1401" spans="1:4" x14ac:dyDescent="0.35">
      <c r="C1401" t="s">
        <v>90</v>
      </c>
      <c r="D1401" t="s">
        <v>84</v>
      </c>
    </row>
    <row r="1402" spans="1:4" x14ac:dyDescent="0.35">
      <c r="C1402" t="s">
        <v>133</v>
      </c>
      <c r="D1402" t="s">
        <v>211</v>
      </c>
    </row>
    <row r="1403" spans="1:4" x14ac:dyDescent="0.35">
      <c r="C1403" t="s">
        <v>91</v>
      </c>
      <c r="D1403" s="7">
        <v>200000</v>
      </c>
    </row>
    <row r="1404" spans="1:4" x14ac:dyDescent="0.35">
      <c r="C1404" t="s">
        <v>92</v>
      </c>
      <c r="D1404" s="3">
        <v>6.9500000000000006E-2</v>
      </c>
    </row>
    <row r="1405" spans="1:4" x14ac:dyDescent="0.35">
      <c r="C1405" t="s">
        <v>93</v>
      </c>
      <c r="D1405">
        <f>D1399-D1398</f>
        <v>730</v>
      </c>
    </row>
    <row r="1406" spans="1:4" x14ac:dyDescent="0.35">
      <c r="C1406" t="s">
        <v>94</v>
      </c>
      <c r="D1406">
        <v>2</v>
      </c>
    </row>
    <row r="1408" spans="1:4" x14ac:dyDescent="0.35">
      <c r="C1408" t="s">
        <v>95</v>
      </c>
      <c r="D1408" t="s">
        <v>96</v>
      </c>
    </row>
    <row r="1409" spans="1:4" x14ac:dyDescent="0.35">
      <c r="C1409" s="1">
        <f>D1398</f>
        <v>45658</v>
      </c>
      <c r="D1409" s="2">
        <f>D1399</f>
        <v>46388</v>
      </c>
    </row>
    <row r="1411" spans="1:4" x14ac:dyDescent="0.35">
      <c r="C1411" t="s">
        <v>212</v>
      </c>
      <c r="D1411">
        <f>(1+D1404/4)^(4*D1406)</f>
        <v>1.1477531461860282</v>
      </c>
    </row>
    <row r="1412" spans="1:4" x14ac:dyDescent="0.35">
      <c r="C1412" t="s">
        <v>213</v>
      </c>
      <c r="D1412" s="4">
        <f>D1403*D1411</f>
        <v>229550.62923720563</v>
      </c>
    </row>
    <row r="1413" spans="1:4" x14ac:dyDescent="0.35">
      <c r="C1413" t="s">
        <v>214</v>
      </c>
      <c r="D1413" s="4">
        <f>D1412-D1403</f>
        <v>29550.629237205634</v>
      </c>
    </row>
    <row r="1415" spans="1:4" x14ac:dyDescent="0.35">
      <c r="C1415" t="s">
        <v>213</v>
      </c>
      <c r="D1415" s="39">
        <f>D1412</f>
        <v>229550.62923720563</v>
      </c>
    </row>
    <row r="1417" spans="1:4" x14ac:dyDescent="0.35">
      <c r="A1417">
        <v>88</v>
      </c>
      <c r="B1417" t="s">
        <v>68</v>
      </c>
      <c r="C1417" t="s">
        <v>82</v>
      </c>
      <c r="D1417" s="1">
        <v>45260</v>
      </c>
    </row>
    <row r="1418" spans="1:4" x14ac:dyDescent="0.35">
      <c r="C1418" t="s">
        <v>83</v>
      </c>
      <c r="D1418" s="2">
        <f>EDATE(D1417,9)</f>
        <v>45534</v>
      </c>
    </row>
    <row r="1419" spans="1:4" x14ac:dyDescent="0.35">
      <c r="C1419" t="s">
        <v>89</v>
      </c>
      <c r="D1419" t="s">
        <v>85</v>
      </c>
    </row>
    <row r="1420" spans="1:4" x14ac:dyDescent="0.35">
      <c r="C1420" t="s">
        <v>90</v>
      </c>
      <c r="D1420" t="s">
        <v>84</v>
      </c>
    </row>
    <row r="1421" spans="1:4" x14ac:dyDescent="0.35">
      <c r="C1421" t="s">
        <v>133</v>
      </c>
      <c r="D1421" t="s">
        <v>127</v>
      </c>
    </row>
    <row r="1422" spans="1:4" x14ac:dyDescent="0.35">
      <c r="C1422" t="s">
        <v>91</v>
      </c>
      <c r="D1422" s="7">
        <v>500000</v>
      </c>
    </row>
    <row r="1423" spans="1:4" x14ac:dyDescent="0.35">
      <c r="C1423" t="s">
        <v>92</v>
      </c>
      <c r="D1423" s="3">
        <v>0.08</v>
      </c>
    </row>
    <row r="1424" spans="1:4" x14ac:dyDescent="0.35">
      <c r="C1424" t="s">
        <v>93</v>
      </c>
      <c r="D1424">
        <f>D1418-D1417</f>
        <v>274</v>
      </c>
    </row>
    <row r="1425" spans="3:10" x14ac:dyDescent="0.35">
      <c r="C1425" t="s">
        <v>94</v>
      </c>
      <c r="D1425">
        <v>1</v>
      </c>
    </row>
    <row r="1427" spans="3:10" x14ac:dyDescent="0.35">
      <c r="C1427" t="s">
        <v>95</v>
      </c>
      <c r="D1427" t="s">
        <v>96</v>
      </c>
      <c r="E1427" t="s">
        <v>97</v>
      </c>
      <c r="F1427" t="s">
        <v>98</v>
      </c>
      <c r="G1427" t="s">
        <v>99</v>
      </c>
    </row>
    <row r="1428" spans="3:10" x14ac:dyDescent="0.35">
      <c r="C1428" s="1">
        <f>D1417</f>
        <v>45260</v>
      </c>
      <c r="D1428" s="2">
        <v>45290</v>
      </c>
      <c r="E1428" s="2">
        <f>EDATE(C1428,12)</f>
        <v>45626</v>
      </c>
      <c r="F1428">
        <f>D1428-C1428</f>
        <v>30</v>
      </c>
      <c r="G1428">
        <f>E1428-C1428</f>
        <v>366</v>
      </c>
      <c r="I1428" t="s">
        <v>100</v>
      </c>
      <c r="J1428">
        <f>$D$1422*$D$1423*F1428/G1428</f>
        <v>3278.688524590164</v>
      </c>
    </row>
    <row r="1429" spans="3:10" x14ac:dyDescent="0.35">
      <c r="C1429" s="2">
        <f>D1428</f>
        <v>45290</v>
      </c>
      <c r="D1429" s="2">
        <f>EDATE(C1429,1)</f>
        <v>45321</v>
      </c>
      <c r="E1429" s="2">
        <f t="shared" ref="E1429:E1436" si="191">EDATE(C1429,12)</f>
        <v>45656</v>
      </c>
      <c r="F1429">
        <f>D1429-C1429</f>
        <v>31</v>
      </c>
      <c r="G1429">
        <f t="shared" ref="G1429:G1436" si="192">E1429-C1429</f>
        <v>366</v>
      </c>
      <c r="I1429" t="s">
        <v>101</v>
      </c>
      <c r="J1429">
        <f t="shared" ref="J1429:J1436" si="193">$D$1422*$D$1423*F1429/G1429</f>
        <v>3387.9781420765025</v>
      </c>
    </row>
    <row r="1430" spans="3:10" x14ac:dyDescent="0.35">
      <c r="C1430" s="2">
        <f>D1429</f>
        <v>45321</v>
      </c>
      <c r="D1430" s="2">
        <f>EDATE(C1430,1)</f>
        <v>45351</v>
      </c>
      <c r="E1430" s="2">
        <f t="shared" si="191"/>
        <v>45687</v>
      </c>
      <c r="F1430">
        <f>D1430-C1430</f>
        <v>30</v>
      </c>
      <c r="G1430">
        <f t="shared" si="192"/>
        <v>366</v>
      </c>
      <c r="I1430" t="s">
        <v>102</v>
      </c>
      <c r="J1430">
        <f t="shared" si="193"/>
        <v>3278.688524590164</v>
      </c>
    </row>
    <row r="1431" spans="3:10" x14ac:dyDescent="0.35">
      <c r="C1431" s="2">
        <f>D1430</f>
        <v>45351</v>
      </c>
      <c r="D1431" s="2">
        <v>45381</v>
      </c>
      <c r="E1431" s="2">
        <f t="shared" si="191"/>
        <v>45716</v>
      </c>
      <c r="F1431">
        <f t="shared" ref="F1431:F1436" si="194">D1431-C1431</f>
        <v>30</v>
      </c>
      <c r="G1431">
        <f t="shared" si="192"/>
        <v>365</v>
      </c>
      <c r="I1431" t="s">
        <v>103</v>
      </c>
      <c r="J1431">
        <f t="shared" si="193"/>
        <v>3287.6712328767121</v>
      </c>
    </row>
    <row r="1432" spans="3:10" x14ac:dyDescent="0.35">
      <c r="C1432" s="2">
        <f>D1431</f>
        <v>45381</v>
      </c>
      <c r="D1432" s="2">
        <f>EDATE(C1432,1)</f>
        <v>45412</v>
      </c>
      <c r="E1432" s="2">
        <f t="shared" si="191"/>
        <v>45746</v>
      </c>
      <c r="F1432">
        <f t="shared" si="194"/>
        <v>31</v>
      </c>
      <c r="G1432">
        <f t="shared" si="192"/>
        <v>365</v>
      </c>
      <c r="I1432" t="s">
        <v>104</v>
      </c>
      <c r="J1432">
        <f t="shared" si="193"/>
        <v>3397.2602739726026</v>
      </c>
    </row>
    <row r="1433" spans="3:10" x14ac:dyDescent="0.35">
      <c r="C1433" s="2">
        <f t="shared" ref="C1433:C1436" si="195">D1432</f>
        <v>45412</v>
      </c>
      <c r="D1433" s="2">
        <v>45442</v>
      </c>
      <c r="E1433" s="2">
        <f t="shared" si="191"/>
        <v>45777</v>
      </c>
      <c r="F1433">
        <f t="shared" si="194"/>
        <v>30</v>
      </c>
      <c r="G1433">
        <f t="shared" si="192"/>
        <v>365</v>
      </c>
      <c r="I1433" t="s">
        <v>105</v>
      </c>
      <c r="J1433">
        <f t="shared" si="193"/>
        <v>3287.6712328767121</v>
      </c>
    </row>
    <row r="1434" spans="3:10" x14ac:dyDescent="0.35">
      <c r="C1434" s="2">
        <f t="shared" si="195"/>
        <v>45442</v>
      </c>
      <c r="D1434" s="2">
        <f t="shared" ref="D1434" si="196">EDATE(C1434,1)</f>
        <v>45473</v>
      </c>
      <c r="E1434" s="2">
        <f t="shared" si="191"/>
        <v>45807</v>
      </c>
      <c r="F1434">
        <f t="shared" si="194"/>
        <v>31</v>
      </c>
      <c r="G1434">
        <f t="shared" si="192"/>
        <v>365</v>
      </c>
      <c r="I1434" t="s">
        <v>106</v>
      </c>
      <c r="J1434">
        <f t="shared" si="193"/>
        <v>3397.2602739726026</v>
      </c>
    </row>
    <row r="1435" spans="3:10" x14ac:dyDescent="0.35">
      <c r="C1435" s="2">
        <f t="shared" si="195"/>
        <v>45473</v>
      </c>
      <c r="D1435" s="2">
        <v>45503</v>
      </c>
      <c r="E1435" s="2">
        <f t="shared" si="191"/>
        <v>45838</v>
      </c>
      <c r="F1435">
        <f t="shared" si="194"/>
        <v>30</v>
      </c>
      <c r="G1435">
        <f t="shared" si="192"/>
        <v>365</v>
      </c>
      <c r="I1435" t="s">
        <v>107</v>
      </c>
      <c r="J1435">
        <f t="shared" si="193"/>
        <v>3287.6712328767121</v>
      </c>
    </row>
    <row r="1436" spans="3:10" x14ac:dyDescent="0.35">
      <c r="C1436" s="2">
        <f t="shared" si="195"/>
        <v>45503</v>
      </c>
      <c r="D1436" s="2">
        <f>EDATE(C1436,1)</f>
        <v>45534</v>
      </c>
      <c r="E1436" s="2">
        <f t="shared" si="191"/>
        <v>45868</v>
      </c>
      <c r="F1436">
        <f t="shared" si="194"/>
        <v>31</v>
      </c>
      <c r="G1436">
        <f t="shared" si="192"/>
        <v>365</v>
      </c>
      <c r="I1436" t="s">
        <v>134</v>
      </c>
      <c r="J1436">
        <f t="shared" si="193"/>
        <v>3397.2602739726026</v>
      </c>
    </row>
    <row r="1437" spans="3:10" x14ac:dyDescent="0.35">
      <c r="C1437" s="2"/>
      <c r="D1437" s="2"/>
      <c r="E1437" s="2"/>
    </row>
    <row r="1438" spans="3:10" x14ac:dyDescent="0.35">
      <c r="C1438" s="2"/>
      <c r="D1438" s="2" t="s">
        <v>240</v>
      </c>
      <c r="E1438" s="38">
        <f>J1436+D1422</f>
        <v>503397.26027397258</v>
      </c>
    </row>
    <row r="1439" spans="3:10" x14ac:dyDescent="0.35">
      <c r="C1439" s="2"/>
      <c r="D1439" s="2" t="s">
        <v>145</v>
      </c>
      <c r="E1439" s="40">
        <f>D1436</f>
        <v>45534</v>
      </c>
    </row>
    <row r="1442" spans="1:10" x14ac:dyDescent="0.35">
      <c r="A1442">
        <v>89</v>
      </c>
      <c r="B1442" t="s">
        <v>69</v>
      </c>
      <c r="C1442" t="s">
        <v>82</v>
      </c>
      <c r="D1442" s="1">
        <v>45351</v>
      </c>
    </row>
    <row r="1443" spans="1:10" x14ac:dyDescent="0.35">
      <c r="C1443" t="s">
        <v>83</v>
      </c>
      <c r="D1443" s="2">
        <f>EDATE(D1442,12)</f>
        <v>45716</v>
      </c>
    </row>
    <row r="1444" spans="1:10" x14ac:dyDescent="0.35">
      <c r="C1444" t="s">
        <v>89</v>
      </c>
      <c r="D1444" t="s">
        <v>85</v>
      </c>
    </row>
    <row r="1445" spans="1:10" x14ac:dyDescent="0.35">
      <c r="C1445" t="s">
        <v>90</v>
      </c>
      <c r="D1445" t="s">
        <v>84</v>
      </c>
    </row>
    <row r="1446" spans="1:10" x14ac:dyDescent="0.35">
      <c r="C1446" t="s">
        <v>133</v>
      </c>
      <c r="D1446" t="s">
        <v>125</v>
      </c>
    </row>
    <row r="1447" spans="1:10" x14ac:dyDescent="0.35">
      <c r="C1447" t="s">
        <v>91</v>
      </c>
      <c r="D1447" s="7">
        <v>100000</v>
      </c>
    </row>
    <row r="1448" spans="1:10" x14ac:dyDescent="0.35">
      <c r="C1448" t="s">
        <v>92</v>
      </c>
      <c r="D1448" s="3">
        <v>7.5499999999999998E-2</v>
      </c>
    </row>
    <row r="1449" spans="1:10" x14ac:dyDescent="0.35">
      <c r="C1449" t="s">
        <v>93</v>
      </c>
      <c r="D1449">
        <f>D1443-D1442</f>
        <v>365</v>
      </c>
    </row>
    <row r="1450" spans="1:10" x14ac:dyDescent="0.35">
      <c r="C1450" t="s">
        <v>94</v>
      </c>
      <c r="D1450">
        <v>2</v>
      </c>
    </row>
    <row r="1452" spans="1:10" x14ac:dyDescent="0.35">
      <c r="C1452" t="s">
        <v>95</v>
      </c>
      <c r="D1452" t="s">
        <v>96</v>
      </c>
      <c r="E1452" t="s">
        <v>97</v>
      </c>
      <c r="F1452" t="s">
        <v>98</v>
      </c>
      <c r="G1452" t="s">
        <v>99</v>
      </c>
    </row>
    <row r="1453" spans="1:10" x14ac:dyDescent="0.35">
      <c r="C1453" s="1">
        <f>D1442</f>
        <v>45351</v>
      </c>
      <c r="D1453" s="2">
        <v>45441</v>
      </c>
      <c r="E1453" s="1">
        <f>EDATE(C1453,12)</f>
        <v>45716</v>
      </c>
      <c r="F1453">
        <f>D1453-C1453</f>
        <v>90</v>
      </c>
      <c r="G1453">
        <f>E1453-C1453</f>
        <v>365</v>
      </c>
      <c r="I1453" s="8" t="s">
        <v>100</v>
      </c>
      <c r="J1453" s="9">
        <f>$D$1447*$D$1448*F1453/G1453</f>
        <v>1861.6438356164383</v>
      </c>
    </row>
    <row r="1454" spans="1:10" x14ac:dyDescent="0.35">
      <c r="C1454" s="2">
        <f t="shared" ref="C1454:C1456" si="197">D1453</f>
        <v>45441</v>
      </c>
      <c r="D1454" s="2">
        <f t="shared" ref="D1454:D1456" si="198">EDATE(C1454,3)</f>
        <v>45533</v>
      </c>
      <c r="E1454" s="1">
        <f t="shared" ref="E1454:E1456" si="199">EDATE(C1454,12)</f>
        <v>45806</v>
      </c>
      <c r="F1454">
        <f t="shared" ref="F1454:F1456" si="200">D1454-C1454</f>
        <v>92</v>
      </c>
      <c r="G1454">
        <f t="shared" ref="G1454:G1456" si="201">E1454-C1454</f>
        <v>365</v>
      </c>
      <c r="I1454" s="8" t="s">
        <v>101</v>
      </c>
      <c r="J1454" s="9">
        <f t="shared" ref="J1454:J1456" si="202">$D$1447*$D$1448*F1454/G1454</f>
        <v>1903.013698630137</v>
      </c>
    </row>
    <row r="1455" spans="1:10" x14ac:dyDescent="0.35">
      <c r="C1455" s="2">
        <f t="shared" si="197"/>
        <v>45533</v>
      </c>
      <c r="D1455" s="2">
        <f t="shared" si="198"/>
        <v>45625</v>
      </c>
      <c r="E1455" s="1">
        <f t="shared" si="199"/>
        <v>45898</v>
      </c>
      <c r="F1455">
        <f t="shared" si="200"/>
        <v>92</v>
      </c>
      <c r="G1455">
        <f t="shared" si="201"/>
        <v>365</v>
      </c>
      <c r="I1455" s="8" t="s">
        <v>102</v>
      </c>
      <c r="J1455" s="9">
        <f t="shared" si="202"/>
        <v>1903.013698630137</v>
      </c>
    </row>
    <row r="1456" spans="1:10" x14ac:dyDescent="0.35">
      <c r="C1456" s="2">
        <f t="shared" si="197"/>
        <v>45625</v>
      </c>
      <c r="D1456" s="2">
        <f t="shared" si="198"/>
        <v>45716</v>
      </c>
      <c r="E1456" s="1">
        <f t="shared" si="199"/>
        <v>45990</v>
      </c>
      <c r="F1456">
        <f t="shared" si="200"/>
        <v>91</v>
      </c>
      <c r="G1456">
        <f t="shared" si="201"/>
        <v>365</v>
      </c>
      <c r="I1456" s="8" t="s">
        <v>103</v>
      </c>
      <c r="J1456" s="9">
        <f t="shared" si="202"/>
        <v>1882.3287671232877</v>
      </c>
    </row>
    <row r="1457" spans="1:10" x14ac:dyDescent="0.35">
      <c r="C1457" s="2"/>
      <c r="D1457" s="2"/>
      <c r="E1457" s="1"/>
      <c r="J1457" s="7"/>
    </row>
    <row r="1458" spans="1:10" x14ac:dyDescent="0.35">
      <c r="C1458" s="2"/>
      <c r="D1458" s="2"/>
      <c r="E1458" s="1"/>
      <c r="J1458" s="7"/>
    </row>
    <row r="1459" spans="1:10" x14ac:dyDescent="0.35">
      <c r="C1459" s="2" t="s">
        <v>213</v>
      </c>
      <c r="D1459" s="22">
        <f>SUM(J1453:J1456)+D1447</f>
        <v>107550</v>
      </c>
      <c r="E1459" s="1"/>
      <c r="J1459" s="7"/>
    </row>
    <row r="1460" spans="1:10" x14ac:dyDescent="0.35">
      <c r="C1460" s="2" t="s">
        <v>241</v>
      </c>
      <c r="D1460" s="30">
        <f>J1453</f>
        <v>1861.6438356164383</v>
      </c>
      <c r="E1460" s="1"/>
      <c r="J1460" s="7"/>
    </row>
    <row r="1463" spans="1:10" x14ac:dyDescent="0.35">
      <c r="A1463">
        <v>90</v>
      </c>
      <c r="B1463" t="s">
        <v>70</v>
      </c>
      <c r="C1463" t="s">
        <v>82</v>
      </c>
      <c r="D1463" s="1">
        <v>45747</v>
      </c>
    </row>
    <row r="1464" spans="1:10" x14ac:dyDescent="0.35">
      <c r="C1464" t="s">
        <v>83</v>
      </c>
      <c r="D1464" s="2">
        <f>EDATE(D1463,6)</f>
        <v>45930</v>
      </c>
    </row>
    <row r="1465" spans="1:10" x14ac:dyDescent="0.35">
      <c r="C1465" t="s">
        <v>89</v>
      </c>
      <c r="D1465" t="s">
        <v>85</v>
      </c>
    </row>
    <row r="1466" spans="1:10" x14ac:dyDescent="0.35">
      <c r="C1466" t="s">
        <v>90</v>
      </c>
      <c r="D1466" t="s">
        <v>86</v>
      </c>
    </row>
    <row r="1467" spans="1:10" x14ac:dyDescent="0.35">
      <c r="C1467" t="s">
        <v>133</v>
      </c>
      <c r="D1467" t="s">
        <v>127</v>
      </c>
    </row>
    <row r="1468" spans="1:10" x14ac:dyDescent="0.35">
      <c r="C1468" t="s">
        <v>91</v>
      </c>
      <c r="D1468" s="7">
        <v>75000</v>
      </c>
    </row>
    <row r="1469" spans="1:10" x14ac:dyDescent="0.35">
      <c r="C1469" t="s">
        <v>92</v>
      </c>
      <c r="D1469" s="3">
        <v>6.8500000000000005E-2</v>
      </c>
    </row>
    <row r="1470" spans="1:10" x14ac:dyDescent="0.35">
      <c r="C1470" t="s">
        <v>93</v>
      </c>
      <c r="D1470">
        <f>D1464-D1463</f>
        <v>183</v>
      </c>
    </row>
    <row r="1471" spans="1:10" x14ac:dyDescent="0.35">
      <c r="C1471" t="s">
        <v>94</v>
      </c>
      <c r="D1471">
        <v>1</v>
      </c>
    </row>
    <row r="1473" spans="3:10" x14ac:dyDescent="0.35">
      <c r="C1473" t="s">
        <v>95</v>
      </c>
      <c r="D1473" t="s">
        <v>96</v>
      </c>
      <c r="E1473" t="s">
        <v>97</v>
      </c>
      <c r="F1473" t="s">
        <v>98</v>
      </c>
      <c r="G1473" t="s">
        <v>99</v>
      </c>
    </row>
    <row r="1474" spans="3:10" x14ac:dyDescent="0.35">
      <c r="C1474" s="1">
        <f>D1463</f>
        <v>45747</v>
      </c>
      <c r="D1474" s="2">
        <f>EDATE(C1474,1)</f>
        <v>45777</v>
      </c>
      <c r="E1474" s="2">
        <f>EDATE(C1474,12)</f>
        <v>46112</v>
      </c>
      <c r="F1474">
        <f>D1474-C1474</f>
        <v>30</v>
      </c>
      <c r="G1474">
        <f>E1474-C1474</f>
        <v>365</v>
      </c>
      <c r="I1474" t="s">
        <v>100</v>
      </c>
      <c r="J1474" s="12">
        <f>$D$1468*$D$1469*F1474/G1474</f>
        <v>422.26027397260276</v>
      </c>
    </row>
    <row r="1475" spans="3:10" x14ac:dyDescent="0.35">
      <c r="C1475" s="2">
        <f>D1474</f>
        <v>45777</v>
      </c>
      <c r="D1475" s="2">
        <f>EDATE(C1474,2)</f>
        <v>45808</v>
      </c>
      <c r="E1475" s="2">
        <f t="shared" ref="E1475:E1479" si="203">EDATE(C1475,12)</f>
        <v>46142</v>
      </c>
      <c r="F1475">
        <f t="shared" ref="F1475:F1479" si="204">D1475-C1475</f>
        <v>31</v>
      </c>
      <c r="G1475">
        <f t="shared" ref="G1475:G1479" si="205">E1475-C1475</f>
        <v>365</v>
      </c>
      <c r="I1475" t="s">
        <v>101</v>
      </c>
      <c r="J1475" s="12">
        <f t="shared" ref="J1475:J1479" si="206">$D$1468*$D$1469*F1475/G1475</f>
        <v>436.33561643835617</v>
      </c>
    </row>
    <row r="1476" spans="3:10" x14ac:dyDescent="0.35">
      <c r="C1476" s="2">
        <f>D1475</f>
        <v>45808</v>
      </c>
      <c r="D1476" s="2">
        <f>EDATE(C1474,3)</f>
        <v>45838</v>
      </c>
      <c r="E1476" s="2">
        <f t="shared" si="203"/>
        <v>46173</v>
      </c>
      <c r="F1476">
        <f t="shared" si="204"/>
        <v>30</v>
      </c>
      <c r="G1476">
        <f t="shared" si="205"/>
        <v>365</v>
      </c>
      <c r="I1476" t="s">
        <v>102</v>
      </c>
      <c r="J1476" s="12">
        <f t="shared" si="206"/>
        <v>422.26027397260276</v>
      </c>
    </row>
    <row r="1477" spans="3:10" x14ac:dyDescent="0.35">
      <c r="C1477" s="2">
        <f>D1476</f>
        <v>45838</v>
      </c>
      <c r="D1477" s="2">
        <f>EDATE(C1474,4)</f>
        <v>45869</v>
      </c>
      <c r="E1477" s="2">
        <f t="shared" si="203"/>
        <v>46203</v>
      </c>
      <c r="F1477">
        <f t="shared" si="204"/>
        <v>31</v>
      </c>
      <c r="G1477">
        <f t="shared" si="205"/>
        <v>365</v>
      </c>
      <c r="I1477" t="s">
        <v>103</v>
      </c>
      <c r="J1477" s="12">
        <f t="shared" si="206"/>
        <v>436.33561643835617</v>
      </c>
    </row>
    <row r="1478" spans="3:10" x14ac:dyDescent="0.35">
      <c r="C1478" s="2">
        <f>D1477</f>
        <v>45869</v>
      </c>
      <c r="D1478" s="2">
        <f>EDATE(C1478,1)</f>
        <v>45900</v>
      </c>
      <c r="E1478" s="2">
        <f t="shared" si="203"/>
        <v>46234</v>
      </c>
      <c r="F1478">
        <f t="shared" si="204"/>
        <v>31</v>
      </c>
      <c r="G1478">
        <f t="shared" si="205"/>
        <v>365</v>
      </c>
      <c r="I1478" t="s">
        <v>104</v>
      </c>
      <c r="J1478" s="12">
        <f t="shared" si="206"/>
        <v>436.33561643835617</v>
      </c>
    </row>
    <row r="1479" spans="3:10" x14ac:dyDescent="0.35">
      <c r="C1479" s="2">
        <f t="shared" ref="C1479" si="207">D1478</f>
        <v>45900</v>
      </c>
      <c r="D1479" s="2">
        <f t="shared" ref="D1479" si="208">EDATE(C1479,1)</f>
        <v>45930</v>
      </c>
      <c r="E1479" s="2">
        <f t="shared" si="203"/>
        <v>46265</v>
      </c>
      <c r="F1479">
        <f t="shared" si="204"/>
        <v>30</v>
      </c>
      <c r="G1479">
        <f t="shared" si="205"/>
        <v>365</v>
      </c>
      <c r="I1479" t="s">
        <v>105</v>
      </c>
      <c r="J1479" s="12">
        <f t="shared" si="206"/>
        <v>422.26027397260276</v>
      </c>
    </row>
    <row r="1480" spans="3:10" x14ac:dyDescent="0.35">
      <c r="C1480" s="2"/>
      <c r="D1480" s="2"/>
      <c r="E1480" s="2"/>
    </row>
    <row r="1481" spans="3:10" x14ac:dyDescent="0.35">
      <c r="C1481" s="2" t="s">
        <v>242</v>
      </c>
      <c r="D1481" t="s">
        <v>100</v>
      </c>
      <c r="E1481" s="30">
        <f>J1474</f>
        <v>422.26027397260276</v>
      </c>
    </row>
    <row r="1482" spans="3:10" x14ac:dyDescent="0.35">
      <c r="C1482" s="2"/>
      <c r="D1482" t="s">
        <v>101</v>
      </c>
      <c r="E1482" s="30">
        <f t="shared" ref="E1482:E1486" si="209">J1475</f>
        <v>436.33561643835617</v>
      </c>
    </row>
    <row r="1483" spans="3:10" x14ac:dyDescent="0.35">
      <c r="C1483" s="2"/>
      <c r="D1483" t="s">
        <v>102</v>
      </c>
      <c r="E1483" s="30">
        <f t="shared" si="209"/>
        <v>422.26027397260276</v>
      </c>
    </row>
    <row r="1484" spans="3:10" x14ac:dyDescent="0.35">
      <c r="C1484" s="2"/>
      <c r="D1484" t="s">
        <v>103</v>
      </c>
      <c r="E1484" s="30">
        <f t="shared" si="209"/>
        <v>436.33561643835617</v>
      </c>
    </row>
    <row r="1485" spans="3:10" x14ac:dyDescent="0.35">
      <c r="C1485" s="2"/>
      <c r="D1485" t="s">
        <v>104</v>
      </c>
      <c r="E1485" s="30">
        <f t="shared" si="209"/>
        <v>436.33561643835617</v>
      </c>
    </row>
    <row r="1486" spans="3:10" x14ac:dyDescent="0.35">
      <c r="D1486" t="s">
        <v>105</v>
      </c>
      <c r="E1486" s="30">
        <f t="shared" si="209"/>
        <v>422.26027397260276</v>
      </c>
    </row>
    <row r="1488" spans="3:10" x14ac:dyDescent="0.35">
      <c r="C1488" t="s">
        <v>243</v>
      </c>
      <c r="D1488" s="21">
        <f>D1479</f>
        <v>45930</v>
      </c>
    </row>
    <row r="1490" spans="1:10" x14ac:dyDescent="0.35">
      <c r="A1490">
        <v>91</v>
      </c>
      <c r="B1490" t="s">
        <v>71</v>
      </c>
      <c r="C1490" t="s">
        <v>82</v>
      </c>
      <c r="D1490" s="1">
        <v>45658</v>
      </c>
    </row>
    <row r="1491" spans="1:10" x14ac:dyDescent="0.35">
      <c r="C1491" t="s">
        <v>83</v>
      </c>
      <c r="D1491" s="2">
        <f>D1490+184</f>
        <v>45842</v>
      </c>
    </row>
    <row r="1492" spans="1:10" x14ac:dyDescent="0.35">
      <c r="C1492" t="s">
        <v>89</v>
      </c>
      <c r="D1492" t="s">
        <v>85</v>
      </c>
    </row>
    <row r="1493" spans="1:10" x14ac:dyDescent="0.35">
      <c r="C1493" t="s">
        <v>90</v>
      </c>
      <c r="D1493" t="s">
        <v>84</v>
      </c>
    </row>
    <row r="1494" spans="1:10" x14ac:dyDescent="0.35">
      <c r="C1494" t="s">
        <v>133</v>
      </c>
      <c r="D1494" t="s">
        <v>125</v>
      </c>
    </row>
    <row r="1495" spans="1:10" x14ac:dyDescent="0.35">
      <c r="C1495" t="s">
        <v>91</v>
      </c>
      <c r="D1495" s="7">
        <v>100000</v>
      </c>
    </row>
    <row r="1496" spans="1:10" x14ac:dyDescent="0.35">
      <c r="C1496" t="s">
        <v>92</v>
      </c>
      <c r="D1496" s="3">
        <v>6.3500000000000001E-2</v>
      </c>
    </row>
    <row r="1497" spans="1:10" x14ac:dyDescent="0.35">
      <c r="C1497" t="s">
        <v>93</v>
      </c>
      <c r="D1497">
        <f>D1491-D1490</f>
        <v>184</v>
      </c>
    </row>
    <row r="1498" spans="1:10" x14ac:dyDescent="0.35">
      <c r="C1498" t="s">
        <v>94</v>
      </c>
    </row>
    <row r="1500" spans="1:10" x14ac:dyDescent="0.35">
      <c r="C1500" t="s">
        <v>95</v>
      </c>
      <c r="D1500" t="s">
        <v>96</v>
      </c>
      <c r="E1500" t="s">
        <v>97</v>
      </c>
      <c r="F1500" t="s">
        <v>98</v>
      </c>
      <c r="G1500" t="s">
        <v>99</v>
      </c>
    </row>
    <row r="1501" spans="1:10" x14ac:dyDescent="0.35">
      <c r="C1501" s="1">
        <f>D1490</f>
        <v>45658</v>
      </c>
      <c r="D1501" s="2">
        <f t="shared" ref="D1501:D1502" si="210">EDATE(C1501,3)</f>
        <v>45748</v>
      </c>
      <c r="E1501" s="1">
        <f>EDATE(C1501,12)</f>
        <v>46023</v>
      </c>
      <c r="F1501">
        <f>D1501-C1501</f>
        <v>90</v>
      </c>
      <c r="G1501">
        <f>E1501-C1501</f>
        <v>365</v>
      </c>
      <c r="I1501" s="8" t="s">
        <v>100</v>
      </c>
      <c r="J1501" s="9">
        <f>$D$1495*$D$1496*F1501/G1501</f>
        <v>1565.7534246575342</v>
      </c>
    </row>
    <row r="1502" spans="1:10" x14ac:dyDescent="0.35">
      <c r="C1502" s="2">
        <f t="shared" ref="C1502:C1503" si="211">D1501</f>
        <v>45748</v>
      </c>
      <c r="D1502" s="2">
        <f t="shared" si="210"/>
        <v>45839</v>
      </c>
      <c r="E1502" s="1">
        <f t="shared" ref="E1502:E1503" si="212">EDATE(C1502,12)</f>
        <v>46113</v>
      </c>
      <c r="F1502">
        <f t="shared" ref="F1502:F1503" si="213">D1502-C1502</f>
        <v>91</v>
      </c>
      <c r="G1502">
        <f t="shared" ref="G1502:G1503" si="214">E1502-C1502</f>
        <v>365</v>
      </c>
      <c r="I1502" s="8" t="s">
        <v>101</v>
      </c>
      <c r="J1502" s="9">
        <f t="shared" ref="J1502:J1503" si="215">$D$1495*$D$1496*F1502/G1502</f>
        <v>1583.1506849315069</v>
      </c>
    </row>
    <row r="1503" spans="1:10" x14ac:dyDescent="0.35">
      <c r="C1503" s="2">
        <f t="shared" si="211"/>
        <v>45839</v>
      </c>
      <c r="D1503" s="2">
        <f>C1501+184</f>
        <v>45842</v>
      </c>
      <c r="E1503" s="1">
        <f t="shared" si="212"/>
        <v>46204</v>
      </c>
      <c r="F1503">
        <f t="shared" si="213"/>
        <v>3</v>
      </c>
      <c r="G1503">
        <f t="shared" si="214"/>
        <v>365</v>
      </c>
      <c r="I1503" s="8" t="s">
        <v>102</v>
      </c>
      <c r="J1503" s="9">
        <f t="shared" si="215"/>
        <v>52.19178082191781</v>
      </c>
    </row>
    <row r="1504" spans="1:10" x14ac:dyDescent="0.35">
      <c r="C1504" s="2"/>
      <c r="D1504" s="2"/>
      <c r="E1504" s="1"/>
      <c r="J1504" s="7"/>
    </row>
    <row r="1505" spans="1:10" x14ac:dyDescent="0.35">
      <c r="C1505" s="2"/>
      <c r="D1505" s="2" t="s">
        <v>244</v>
      </c>
      <c r="E1505" s="41">
        <f>D1496</f>
        <v>6.3500000000000001E-2</v>
      </c>
      <c r="J1505" s="7"/>
    </row>
    <row r="1506" spans="1:10" x14ac:dyDescent="0.35">
      <c r="C1506" s="2"/>
      <c r="D1506" s="2" t="s">
        <v>241</v>
      </c>
      <c r="E1506" s="30">
        <f>J1501</f>
        <v>1565.7534246575342</v>
      </c>
      <c r="J1506" s="7"/>
    </row>
    <row r="1508" spans="1:10" x14ac:dyDescent="0.35">
      <c r="A1508">
        <v>92</v>
      </c>
      <c r="B1508" t="s">
        <v>72</v>
      </c>
      <c r="C1508" t="s">
        <v>82</v>
      </c>
      <c r="D1508" s="1">
        <v>45658</v>
      </c>
    </row>
    <row r="1509" spans="1:10" x14ac:dyDescent="0.35">
      <c r="C1509" t="s">
        <v>83</v>
      </c>
      <c r="D1509" s="2">
        <f>D1508+185</f>
        <v>45843</v>
      </c>
    </row>
    <row r="1510" spans="1:10" x14ac:dyDescent="0.35">
      <c r="C1510" t="s">
        <v>89</v>
      </c>
      <c r="D1510" t="s">
        <v>85</v>
      </c>
    </row>
    <row r="1511" spans="1:10" x14ac:dyDescent="0.35">
      <c r="C1511" t="s">
        <v>90</v>
      </c>
      <c r="D1511" t="s">
        <v>84</v>
      </c>
    </row>
    <row r="1512" spans="1:10" x14ac:dyDescent="0.35">
      <c r="C1512" t="s">
        <v>133</v>
      </c>
      <c r="D1512" t="s">
        <v>211</v>
      </c>
    </row>
    <row r="1513" spans="1:10" x14ac:dyDescent="0.35">
      <c r="C1513" t="s">
        <v>91</v>
      </c>
      <c r="D1513" s="7">
        <v>100000</v>
      </c>
    </row>
    <row r="1514" spans="1:10" x14ac:dyDescent="0.35">
      <c r="C1514" t="s">
        <v>92</v>
      </c>
      <c r="D1514" s="3">
        <v>6.3500000000000001E-2</v>
      </c>
    </row>
    <row r="1515" spans="1:10" x14ac:dyDescent="0.35">
      <c r="C1515" t="s">
        <v>93</v>
      </c>
      <c r="D1515">
        <f>D1509-D1508</f>
        <v>185</v>
      </c>
    </row>
    <row r="1516" spans="1:10" x14ac:dyDescent="0.35">
      <c r="C1516" t="s">
        <v>94</v>
      </c>
      <c r="D1516">
        <f>D1515/365</f>
        <v>0.50684931506849318</v>
      </c>
    </row>
    <row r="1518" spans="1:10" x14ac:dyDescent="0.35">
      <c r="C1518" t="s">
        <v>95</v>
      </c>
      <c r="D1518" t="s">
        <v>96</v>
      </c>
    </row>
    <row r="1519" spans="1:10" x14ac:dyDescent="0.35">
      <c r="C1519" s="1">
        <f>D1508</f>
        <v>45658</v>
      </c>
      <c r="D1519" s="2">
        <f>D1509</f>
        <v>45843</v>
      </c>
    </row>
    <row r="1521" spans="1:4" x14ac:dyDescent="0.35">
      <c r="C1521" t="s">
        <v>212</v>
      </c>
      <c r="D1521">
        <f>(1+D1514/4)^(4*D1516)</f>
        <v>1.0324474364268212</v>
      </c>
    </row>
    <row r="1522" spans="1:4" x14ac:dyDescent="0.35">
      <c r="C1522" s="19" t="s">
        <v>213</v>
      </c>
      <c r="D1522" s="22">
        <f>D1513*D1521</f>
        <v>103244.74364268212</v>
      </c>
    </row>
    <row r="1523" spans="1:4" x14ac:dyDescent="0.35">
      <c r="C1523" t="s">
        <v>214</v>
      </c>
      <c r="D1523" s="4">
        <f>D1522-D1513</f>
        <v>3244.7436426821223</v>
      </c>
    </row>
    <row r="1525" spans="1:4" x14ac:dyDescent="0.35">
      <c r="A1525">
        <v>93</v>
      </c>
      <c r="B1525" t="s">
        <v>73</v>
      </c>
    </row>
    <row r="1526" spans="1:4" x14ac:dyDescent="0.35">
      <c r="C1526" s="19" t="s">
        <v>245</v>
      </c>
    </row>
    <row r="1529" spans="1:4" x14ac:dyDescent="0.35">
      <c r="A1529">
        <v>94</v>
      </c>
      <c r="B1529" t="s">
        <v>74</v>
      </c>
    </row>
    <row r="1530" spans="1:4" x14ac:dyDescent="0.35">
      <c r="C1530" s="19" t="s">
        <v>246</v>
      </c>
    </row>
    <row r="1532" spans="1:4" x14ac:dyDescent="0.35">
      <c r="A1532">
        <v>95</v>
      </c>
      <c r="B1532" t="s">
        <v>75</v>
      </c>
    </row>
    <row r="1533" spans="1:4" x14ac:dyDescent="0.35">
      <c r="C1533" s="19" t="s">
        <v>247</v>
      </c>
    </row>
    <row r="1535" spans="1:4" x14ac:dyDescent="0.35">
      <c r="A1535">
        <v>96</v>
      </c>
      <c r="B1535" t="s">
        <v>76</v>
      </c>
    </row>
    <row r="1536" spans="1:4" x14ac:dyDescent="0.35">
      <c r="C1536" s="19" t="s">
        <v>248</v>
      </c>
    </row>
    <row r="1540" spans="1:4" x14ac:dyDescent="0.35">
      <c r="A1540">
        <v>97</v>
      </c>
      <c r="B1540" t="s">
        <v>77</v>
      </c>
      <c r="C1540" t="s">
        <v>82</v>
      </c>
      <c r="D1540" s="1">
        <v>45703</v>
      </c>
    </row>
    <row r="1541" spans="1:4" x14ac:dyDescent="0.35">
      <c r="C1541" t="s">
        <v>83</v>
      </c>
      <c r="D1541" s="2">
        <f>EDATE(D1540,12)</f>
        <v>46068</v>
      </c>
    </row>
    <row r="1542" spans="1:4" x14ac:dyDescent="0.35">
      <c r="C1542" t="s">
        <v>89</v>
      </c>
      <c r="D1542" t="s">
        <v>85</v>
      </c>
    </row>
    <row r="1543" spans="1:4" x14ac:dyDescent="0.35">
      <c r="C1543" t="s">
        <v>90</v>
      </c>
      <c r="D1543" t="s">
        <v>84</v>
      </c>
    </row>
    <row r="1544" spans="1:4" x14ac:dyDescent="0.35">
      <c r="C1544" t="s">
        <v>133</v>
      </c>
      <c r="D1544" t="s">
        <v>211</v>
      </c>
    </row>
    <row r="1545" spans="1:4" x14ac:dyDescent="0.35">
      <c r="C1545" t="s">
        <v>91</v>
      </c>
      <c r="D1545" s="7">
        <v>200000</v>
      </c>
    </row>
    <row r="1546" spans="1:4" x14ac:dyDescent="0.35">
      <c r="C1546" t="s">
        <v>92</v>
      </c>
      <c r="D1546" s="3">
        <v>6.7500000000000004E-2</v>
      </c>
    </row>
    <row r="1547" spans="1:4" x14ac:dyDescent="0.35">
      <c r="C1547" t="s">
        <v>93</v>
      </c>
      <c r="D1547">
        <f>D1541-D1540</f>
        <v>365</v>
      </c>
    </row>
    <row r="1548" spans="1:4" x14ac:dyDescent="0.35">
      <c r="C1548" t="s">
        <v>94</v>
      </c>
      <c r="D1548">
        <v>1</v>
      </c>
    </row>
    <row r="1550" spans="1:4" x14ac:dyDescent="0.35">
      <c r="C1550" t="s">
        <v>95</v>
      </c>
      <c r="D1550" t="s">
        <v>96</v>
      </c>
    </row>
    <row r="1551" spans="1:4" x14ac:dyDescent="0.35">
      <c r="C1551" s="1">
        <f>D1540</f>
        <v>45703</v>
      </c>
      <c r="D1551" s="2">
        <f>D1541</f>
        <v>46068</v>
      </c>
    </row>
    <row r="1553" spans="1:4" x14ac:dyDescent="0.35">
      <c r="C1553" t="s">
        <v>212</v>
      </c>
      <c r="D1553">
        <f>(1+D1546/4)^(4*D1548)</f>
        <v>1.0692278965211486</v>
      </c>
    </row>
    <row r="1554" spans="1:4" x14ac:dyDescent="0.35">
      <c r="C1554" t="s">
        <v>213</v>
      </c>
      <c r="D1554" s="4">
        <f>D1545*D1553</f>
        <v>213845.57930422973</v>
      </c>
    </row>
    <row r="1555" spans="1:4" x14ac:dyDescent="0.35">
      <c r="C1555" s="19" t="s">
        <v>214</v>
      </c>
      <c r="D1555" s="22">
        <f>D1554-D1545</f>
        <v>13845.57930422973</v>
      </c>
    </row>
    <row r="1557" spans="1:4" x14ac:dyDescent="0.35">
      <c r="A1557">
        <v>98</v>
      </c>
      <c r="B1557" t="s">
        <v>78</v>
      </c>
    </row>
    <row r="1558" spans="1:4" x14ac:dyDescent="0.35">
      <c r="C1558" t="s">
        <v>249</v>
      </c>
    </row>
    <row r="1560" spans="1:4" x14ac:dyDescent="0.35">
      <c r="A1560">
        <v>99</v>
      </c>
      <c r="B1560" t="s">
        <v>79</v>
      </c>
      <c r="C1560" t="s">
        <v>82</v>
      </c>
      <c r="D1560" s="1">
        <v>45558</v>
      </c>
    </row>
    <row r="1561" spans="1:4" x14ac:dyDescent="0.35">
      <c r="C1561" t="s">
        <v>83</v>
      </c>
      <c r="D1561" s="2">
        <f>EDATE(D1560,36)</f>
        <v>46653</v>
      </c>
    </row>
    <row r="1562" spans="1:4" x14ac:dyDescent="0.35">
      <c r="C1562" t="s">
        <v>89</v>
      </c>
      <c r="D1562" t="s">
        <v>85</v>
      </c>
    </row>
    <row r="1563" spans="1:4" x14ac:dyDescent="0.35">
      <c r="C1563" t="s">
        <v>90</v>
      </c>
      <c r="D1563" t="s">
        <v>86</v>
      </c>
    </row>
    <row r="1564" spans="1:4" x14ac:dyDescent="0.35">
      <c r="C1564" t="s">
        <v>133</v>
      </c>
      <c r="D1564" t="s">
        <v>125</v>
      </c>
    </row>
    <row r="1565" spans="1:4" x14ac:dyDescent="0.35">
      <c r="C1565" t="s">
        <v>91</v>
      </c>
      <c r="D1565" s="7">
        <v>100000</v>
      </c>
    </row>
    <row r="1566" spans="1:4" x14ac:dyDescent="0.35">
      <c r="C1566" t="s">
        <v>92</v>
      </c>
      <c r="D1566" s="3">
        <v>0.08</v>
      </c>
    </row>
    <row r="1567" spans="1:4" x14ac:dyDescent="0.35">
      <c r="C1567" t="s">
        <v>93</v>
      </c>
      <c r="D1567">
        <f>D1561-D1560</f>
        <v>1095</v>
      </c>
    </row>
    <row r="1568" spans="1:4" x14ac:dyDescent="0.35">
      <c r="C1568" t="s">
        <v>94</v>
      </c>
      <c r="D1568">
        <v>3</v>
      </c>
    </row>
    <row r="1570" spans="3:10" x14ac:dyDescent="0.35">
      <c r="C1570" t="s">
        <v>95</v>
      </c>
      <c r="D1570" t="s">
        <v>96</v>
      </c>
      <c r="E1570" t="s">
        <v>97</v>
      </c>
      <c r="F1570" t="s">
        <v>98</v>
      </c>
      <c r="G1570" t="s">
        <v>99</v>
      </c>
    </row>
    <row r="1571" spans="3:10" x14ac:dyDescent="0.35">
      <c r="C1571" s="1">
        <f>D1560</f>
        <v>45558</v>
      </c>
      <c r="D1571" s="2">
        <f t="shared" ref="D1571:D1582" si="216">EDATE(C1571,3)</f>
        <v>45649</v>
      </c>
      <c r="E1571" s="1">
        <f>EDATE(C1571,12)</f>
        <v>45923</v>
      </c>
      <c r="F1571">
        <f>D1571-C1571</f>
        <v>91</v>
      </c>
      <c r="G1571">
        <f>E1571-C1571</f>
        <v>365</v>
      </c>
      <c r="I1571" s="8" t="s">
        <v>100</v>
      </c>
      <c r="J1571" s="9">
        <f>$D$1565*$D$1566*F1571/G1571</f>
        <v>1994.5205479452054</v>
      </c>
    </row>
    <row r="1572" spans="3:10" x14ac:dyDescent="0.35">
      <c r="C1572" s="2">
        <f t="shared" ref="C1572:C1582" si="217">D1571</f>
        <v>45649</v>
      </c>
      <c r="D1572" s="2">
        <f t="shared" si="216"/>
        <v>45739</v>
      </c>
      <c r="E1572" s="1">
        <f t="shared" ref="E1572:E1582" si="218">EDATE(C1572,12)</f>
        <v>46014</v>
      </c>
      <c r="F1572">
        <f t="shared" ref="F1572:F1582" si="219">D1572-C1572</f>
        <v>90</v>
      </c>
      <c r="G1572">
        <f t="shared" ref="G1572:G1582" si="220">E1572-C1572</f>
        <v>365</v>
      </c>
      <c r="I1572" s="8" t="s">
        <v>101</v>
      </c>
      <c r="J1572" s="9">
        <f t="shared" ref="J1572:J1582" si="221">$D$1565*$D$1566*F1572/G1572</f>
        <v>1972.6027397260275</v>
      </c>
    </row>
    <row r="1573" spans="3:10" x14ac:dyDescent="0.35">
      <c r="C1573" s="2">
        <f t="shared" si="217"/>
        <v>45739</v>
      </c>
      <c r="D1573" s="2">
        <f t="shared" si="216"/>
        <v>45831</v>
      </c>
      <c r="E1573" s="1">
        <f t="shared" si="218"/>
        <v>46104</v>
      </c>
      <c r="F1573">
        <f t="shared" si="219"/>
        <v>92</v>
      </c>
      <c r="G1573">
        <f t="shared" si="220"/>
        <v>365</v>
      </c>
      <c r="I1573" s="8" t="s">
        <v>102</v>
      </c>
      <c r="J1573" s="9">
        <f t="shared" si="221"/>
        <v>2016.4383561643835</v>
      </c>
    </row>
    <row r="1574" spans="3:10" x14ac:dyDescent="0.35">
      <c r="C1574" s="2">
        <f t="shared" si="217"/>
        <v>45831</v>
      </c>
      <c r="D1574" s="2">
        <f t="shared" si="216"/>
        <v>45923</v>
      </c>
      <c r="E1574" s="1">
        <f t="shared" si="218"/>
        <v>46196</v>
      </c>
      <c r="F1574">
        <f t="shared" si="219"/>
        <v>92</v>
      </c>
      <c r="G1574">
        <f t="shared" si="220"/>
        <v>365</v>
      </c>
      <c r="I1574" s="8" t="s">
        <v>103</v>
      </c>
      <c r="J1574" s="9">
        <f t="shared" si="221"/>
        <v>2016.4383561643835</v>
      </c>
    </row>
    <row r="1575" spans="3:10" x14ac:dyDescent="0.35">
      <c r="C1575" s="2">
        <f t="shared" si="217"/>
        <v>45923</v>
      </c>
      <c r="D1575" s="2">
        <f t="shared" si="216"/>
        <v>46014</v>
      </c>
      <c r="E1575" s="1">
        <f t="shared" si="218"/>
        <v>46288</v>
      </c>
      <c r="F1575">
        <f t="shared" si="219"/>
        <v>91</v>
      </c>
      <c r="G1575">
        <f t="shared" si="220"/>
        <v>365</v>
      </c>
      <c r="I1575" s="8" t="s">
        <v>104</v>
      </c>
      <c r="J1575" s="9">
        <f t="shared" si="221"/>
        <v>1994.5205479452054</v>
      </c>
    </row>
    <row r="1576" spans="3:10" x14ac:dyDescent="0.35">
      <c r="C1576" s="2">
        <f t="shared" si="217"/>
        <v>46014</v>
      </c>
      <c r="D1576" s="2">
        <f t="shared" si="216"/>
        <v>46104</v>
      </c>
      <c r="E1576" s="1">
        <f t="shared" si="218"/>
        <v>46379</v>
      </c>
      <c r="F1576">
        <f t="shared" si="219"/>
        <v>90</v>
      </c>
      <c r="G1576">
        <f t="shared" si="220"/>
        <v>365</v>
      </c>
      <c r="I1576" s="8" t="s">
        <v>105</v>
      </c>
      <c r="J1576" s="9">
        <f t="shared" si="221"/>
        <v>1972.6027397260275</v>
      </c>
    </row>
    <row r="1577" spans="3:10" x14ac:dyDescent="0.35">
      <c r="C1577" s="2">
        <f t="shared" si="217"/>
        <v>46104</v>
      </c>
      <c r="D1577" s="2">
        <f t="shared" si="216"/>
        <v>46196</v>
      </c>
      <c r="E1577" s="1">
        <f t="shared" si="218"/>
        <v>46469</v>
      </c>
      <c r="F1577">
        <f t="shared" si="219"/>
        <v>92</v>
      </c>
      <c r="G1577">
        <f t="shared" si="220"/>
        <v>365</v>
      </c>
      <c r="I1577" s="8" t="s">
        <v>106</v>
      </c>
      <c r="J1577" s="9">
        <f t="shared" si="221"/>
        <v>2016.4383561643835</v>
      </c>
    </row>
    <row r="1578" spans="3:10" x14ac:dyDescent="0.35">
      <c r="C1578" s="2">
        <f t="shared" si="217"/>
        <v>46196</v>
      </c>
      <c r="D1578" s="2">
        <f t="shared" si="216"/>
        <v>46288</v>
      </c>
      <c r="E1578" s="1">
        <f t="shared" si="218"/>
        <v>46561</v>
      </c>
      <c r="F1578">
        <f t="shared" si="219"/>
        <v>92</v>
      </c>
      <c r="G1578">
        <f t="shared" si="220"/>
        <v>365</v>
      </c>
      <c r="I1578" s="8" t="s">
        <v>107</v>
      </c>
      <c r="J1578" s="9">
        <f t="shared" si="221"/>
        <v>2016.4383561643835</v>
      </c>
    </row>
    <row r="1579" spans="3:10" x14ac:dyDescent="0.35">
      <c r="C1579" s="2">
        <f t="shared" si="217"/>
        <v>46288</v>
      </c>
      <c r="D1579" s="2">
        <f t="shared" si="216"/>
        <v>46379</v>
      </c>
      <c r="E1579" s="1">
        <f t="shared" si="218"/>
        <v>46653</v>
      </c>
      <c r="F1579">
        <f t="shared" si="219"/>
        <v>91</v>
      </c>
      <c r="G1579">
        <f t="shared" si="220"/>
        <v>365</v>
      </c>
      <c r="I1579" s="8" t="s">
        <v>134</v>
      </c>
      <c r="J1579" s="9">
        <f t="shared" si="221"/>
        <v>1994.5205479452054</v>
      </c>
    </row>
    <row r="1580" spans="3:10" x14ac:dyDescent="0.35">
      <c r="C1580" s="2">
        <f t="shared" si="217"/>
        <v>46379</v>
      </c>
      <c r="D1580" s="2">
        <f t="shared" si="216"/>
        <v>46469</v>
      </c>
      <c r="E1580" s="1">
        <f t="shared" si="218"/>
        <v>46744</v>
      </c>
      <c r="F1580">
        <f t="shared" si="219"/>
        <v>90</v>
      </c>
      <c r="G1580">
        <f t="shared" si="220"/>
        <v>365</v>
      </c>
      <c r="I1580" s="8" t="s">
        <v>135</v>
      </c>
      <c r="J1580" s="9">
        <f t="shared" si="221"/>
        <v>1972.6027397260275</v>
      </c>
    </row>
    <row r="1581" spans="3:10" x14ac:dyDescent="0.35">
      <c r="C1581" s="2">
        <f t="shared" si="217"/>
        <v>46469</v>
      </c>
      <c r="D1581" s="2">
        <f t="shared" si="216"/>
        <v>46561</v>
      </c>
      <c r="E1581" s="1">
        <f t="shared" si="218"/>
        <v>46835</v>
      </c>
      <c r="F1581">
        <f t="shared" si="219"/>
        <v>92</v>
      </c>
      <c r="G1581">
        <f t="shared" si="220"/>
        <v>366</v>
      </c>
      <c r="I1581" s="8" t="s">
        <v>136</v>
      </c>
      <c r="J1581" s="9">
        <f t="shared" si="221"/>
        <v>2010.9289617486338</v>
      </c>
    </row>
    <row r="1582" spans="3:10" x14ac:dyDescent="0.35">
      <c r="C1582" s="2">
        <f t="shared" si="217"/>
        <v>46561</v>
      </c>
      <c r="D1582" s="2">
        <f t="shared" si="216"/>
        <v>46653</v>
      </c>
      <c r="E1582" s="1">
        <f t="shared" si="218"/>
        <v>46927</v>
      </c>
      <c r="F1582">
        <f t="shared" si="219"/>
        <v>92</v>
      </c>
      <c r="G1582">
        <f t="shared" si="220"/>
        <v>366</v>
      </c>
      <c r="I1582" s="8" t="s">
        <v>137</v>
      </c>
      <c r="J1582" s="9">
        <f t="shared" si="221"/>
        <v>2010.9289617486338</v>
      </c>
    </row>
    <row r="1584" spans="3:10" x14ac:dyDescent="0.35">
      <c r="C1584" s="19" t="s">
        <v>213</v>
      </c>
      <c r="D1584" s="28">
        <f>SUM(J1571:J1582)+D1565</f>
        <v>123988.9812111685</v>
      </c>
    </row>
    <row r="1586" spans="1:4" x14ac:dyDescent="0.35">
      <c r="A1586">
        <v>100</v>
      </c>
      <c r="B1586" t="s">
        <v>80</v>
      </c>
    </row>
    <row r="1587" spans="1:4" ht="391.5" x14ac:dyDescent="0.35">
      <c r="C1587" s="47" t="s">
        <v>286</v>
      </c>
    </row>
    <row r="1589" spans="1:4" x14ac:dyDescent="0.35">
      <c r="A1589">
        <v>101</v>
      </c>
      <c r="B1589" t="s">
        <v>81</v>
      </c>
      <c r="C1589" t="s">
        <v>82</v>
      </c>
      <c r="D1589" s="1">
        <v>46753</v>
      </c>
    </row>
    <row r="1590" spans="1:4" x14ac:dyDescent="0.35">
      <c r="C1590" t="s">
        <v>83</v>
      </c>
      <c r="D1590" s="2">
        <f>EDATE(D1589,24)</f>
        <v>47484</v>
      </c>
    </row>
    <row r="1591" spans="1:4" x14ac:dyDescent="0.35">
      <c r="C1591" t="s">
        <v>89</v>
      </c>
      <c r="D1591" t="s">
        <v>85</v>
      </c>
    </row>
    <row r="1592" spans="1:4" x14ac:dyDescent="0.35">
      <c r="C1592" t="s">
        <v>90</v>
      </c>
      <c r="D1592" t="s">
        <v>84</v>
      </c>
    </row>
    <row r="1593" spans="1:4" x14ac:dyDescent="0.35">
      <c r="C1593" t="s">
        <v>133</v>
      </c>
      <c r="D1593" t="s">
        <v>211</v>
      </c>
    </row>
    <row r="1594" spans="1:4" x14ac:dyDescent="0.35">
      <c r="C1594" t="s">
        <v>91</v>
      </c>
      <c r="D1594" s="7">
        <v>200000</v>
      </c>
    </row>
    <row r="1595" spans="1:4" x14ac:dyDescent="0.35">
      <c r="C1595" t="s">
        <v>92</v>
      </c>
      <c r="D1595" s="3">
        <v>6.4500000000000002E-2</v>
      </c>
    </row>
    <row r="1596" spans="1:4" x14ac:dyDescent="0.35">
      <c r="C1596" t="s">
        <v>93</v>
      </c>
      <c r="D1596">
        <f>D1590-D1589</f>
        <v>731</v>
      </c>
    </row>
    <row r="1597" spans="1:4" x14ac:dyDescent="0.35">
      <c r="C1597" t="s">
        <v>94</v>
      </c>
      <c r="D1597">
        <v>2</v>
      </c>
    </row>
    <row r="1599" spans="1:4" x14ac:dyDescent="0.35">
      <c r="C1599" t="s">
        <v>95</v>
      </c>
      <c r="D1599" t="s">
        <v>96</v>
      </c>
    </row>
    <row r="1600" spans="1:4" x14ac:dyDescent="0.35">
      <c r="C1600" s="1">
        <f>D1589</f>
        <v>46753</v>
      </c>
      <c r="D1600" s="2">
        <f>D1590</f>
        <v>47484</v>
      </c>
    </row>
    <row r="1602" spans="1:4" x14ac:dyDescent="0.35">
      <c r="C1602" t="s">
        <v>212</v>
      </c>
      <c r="D1602">
        <f>(1+D1595/4)^(4*D1597)</f>
        <v>1.1365200257227674</v>
      </c>
    </row>
    <row r="1603" spans="1:4" x14ac:dyDescent="0.35">
      <c r="C1603" s="19" t="s">
        <v>213</v>
      </c>
      <c r="D1603" s="22">
        <f>D1594*D1602</f>
        <v>227304.00514455349</v>
      </c>
    </row>
    <row r="1604" spans="1:4" x14ac:dyDescent="0.35">
      <c r="C1604" t="s">
        <v>214</v>
      </c>
      <c r="D1604" s="4">
        <f>D1603-D1594</f>
        <v>27304.005144553492</v>
      </c>
    </row>
    <row r="1606" spans="1:4" ht="15" customHeight="1" x14ac:dyDescent="0.35">
      <c r="A1606">
        <v>102</v>
      </c>
      <c r="B1606" t="s">
        <v>312</v>
      </c>
      <c r="C1606" s="48" t="s">
        <v>287</v>
      </c>
    </row>
    <row r="1607" spans="1:4" ht="15" customHeight="1" x14ac:dyDescent="0.35">
      <c r="A1607">
        <v>103</v>
      </c>
      <c r="B1607" t="s">
        <v>313</v>
      </c>
      <c r="C1607" s="48" t="s">
        <v>288</v>
      </c>
    </row>
    <row r="1608" spans="1:4" ht="15" customHeight="1" x14ac:dyDescent="0.35">
      <c r="A1608">
        <v>104</v>
      </c>
      <c r="B1608" t="s">
        <v>314</v>
      </c>
      <c r="C1608" s="48" t="s">
        <v>289</v>
      </c>
    </row>
    <row r="1609" spans="1:4" ht="15" customHeight="1" x14ac:dyDescent="0.35">
      <c r="A1609">
        <v>105</v>
      </c>
      <c r="B1609" t="s">
        <v>315</v>
      </c>
      <c r="C1609" s="48" t="s">
        <v>290</v>
      </c>
    </row>
    <row r="1610" spans="1:4" ht="15" customHeight="1" x14ac:dyDescent="0.35">
      <c r="A1610">
        <v>106</v>
      </c>
      <c r="B1610" t="s">
        <v>316</v>
      </c>
      <c r="C1610" s="48" t="s">
        <v>291</v>
      </c>
    </row>
    <row r="1611" spans="1:4" ht="15" customHeight="1" x14ac:dyDescent="0.35">
      <c r="A1611">
        <v>107</v>
      </c>
      <c r="B1611" t="s">
        <v>317</v>
      </c>
      <c r="C1611" s="48" t="s">
        <v>292</v>
      </c>
    </row>
    <row r="1612" spans="1:4" ht="15" customHeight="1" x14ac:dyDescent="0.35">
      <c r="A1612">
        <v>108</v>
      </c>
      <c r="B1612" t="s">
        <v>318</v>
      </c>
      <c r="C1612" s="48" t="s">
        <v>293</v>
      </c>
    </row>
    <row r="1613" spans="1:4" ht="15" customHeight="1" x14ac:dyDescent="0.35">
      <c r="A1613">
        <v>109</v>
      </c>
      <c r="B1613" t="s">
        <v>319</v>
      </c>
      <c r="C1613" s="48" t="s">
        <v>294</v>
      </c>
    </row>
    <row r="1614" spans="1:4" ht="15" customHeight="1" x14ac:dyDescent="0.35">
      <c r="A1614">
        <v>110</v>
      </c>
      <c r="B1614" t="s">
        <v>320</v>
      </c>
      <c r="C1614" s="48" t="s">
        <v>295</v>
      </c>
    </row>
    <row r="1615" spans="1:4" ht="15" customHeight="1" x14ac:dyDescent="0.35">
      <c r="A1615">
        <v>111</v>
      </c>
      <c r="B1615" t="s">
        <v>321</v>
      </c>
      <c r="C1615" s="48" t="s">
        <v>296</v>
      </c>
    </row>
    <row r="1616" spans="1:4" ht="15" customHeight="1" x14ac:dyDescent="0.35">
      <c r="A1616">
        <v>112</v>
      </c>
      <c r="B1616" t="s">
        <v>322</v>
      </c>
      <c r="C1616" t="s">
        <v>297</v>
      </c>
    </row>
    <row r="1617" spans="1:3" ht="15" customHeight="1" x14ac:dyDescent="0.35">
      <c r="A1617">
        <v>113</v>
      </c>
      <c r="B1617" t="s">
        <v>323</v>
      </c>
      <c r="C1617" t="s">
        <v>298</v>
      </c>
    </row>
    <row r="1618" spans="1:3" ht="15" customHeight="1" x14ac:dyDescent="0.35">
      <c r="A1618">
        <v>114</v>
      </c>
      <c r="B1618" t="s">
        <v>324</v>
      </c>
      <c r="C1618" s="48" t="s">
        <v>299</v>
      </c>
    </row>
    <row r="1619" spans="1:3" ht="15" customHeight="1" x14ac:dyDescent="0.35">
      <c r="A1619">
        <v>115</v>
      </c>
      <c r="B1619" t="s">
        <v>325</v>
      </c>
      <c r="C1619" s="48" t="s">
        <v>300</v>
      </c>
    </row>
    <row r="1620" spans="1:3" ht="15" customHeight="1" x14ac:dyDescent="0.35">
      <c r="A1620">
        <v>116</v>
      </c>
      <c r="B1620" t="s">
        <v>326</v>
      </c>
      <c r="C1620" s="48" t="s">
        <v>301</v>
      </c>
    </row>
    <row r="1621" spans="1:3" ht="15" customHeight="1" x14ac:dyDescent="0.35">
      <c r="A1621">
        <v>117</v>
      </c>
      <c r="B1621" t="s">
        <v>327</v>
      </c>
      <c r="C1621" t="s">
        <v>302</v>
      </c>
    </row>
    <row r="1622" spans="1:3" ht="15" customHeight="1" x14ac:dyDescent="0.35">
      <c r="A1622">
        <v>118</v>
      </c>
      <c r="B1622" t="s">
        <v>328</v>
      </c>
      <c r="C1622" t="s">
        <v>303</v>
      </c>
    </row>
    <row r="1623" spans="1:3" ht="15" customHeight="1" x14ac:dyDescent="0.35">
      <c r="A1623">
        <v>119</v>
      </c>
      <c r="B1623" t="s">
        <v>329</v>
      </c>
      <c r="C1623" s="48" t="s">
        <v>304</v>
      </c>
    </row>
    <row r="1624" spans="1:3" ht="15" customHeight="1" x14ac:dyDescent="0.35">
      <c r="A1624">
        <v>120</v>
      </c>
      <c r="B1624" t="s">
        <v>330</v>
      </c>
      <c r="C1624" s="48" t="s">
        <v>305</v>
      </c>
    </row>
    <row r="1625" spans="1:3" ht="15" customHeight="1" x14ac:dyDescent="0.35">
      <c r="A1625">
        <v>121</v>
      </c>
      <c r="B1625" t="s">
        <v>331</v>
      </c>
      <c r="C1625" s="48" t="s">
        <v>306</v>
      </c>
    </row>
    <row r="1626" spans="1:3" ht="15" customHeight="1" x14ac:dyDescent="0.35">
      <c r="A1626">
        <v>122</v>
      </c>
      <c r="B1626" t="s">
        <v>332</v>
      </c>
      <c r="C1626" t="s">
        <v>307</v>
      </c>
    </row>
    <row r="1627" spans="1:3" ht="15" customHeight="1" x14ac:dyDescent="0.35">
      <c r="A1627">
        <v>123</v>
      </c>
      <c r="B1627" t="s">
        <v>333</v>
      </c>
      <c r="C1627" s="48" t="s">
        <v>308</v>
      </c>
    </row>
    <row r="1628" spans="1:3" ht="15" customHeight="1" x14ac:dyDescent="0.35">
      <c r="A1628">
        <v>124</v>
      </c>
      <c r="B1628" t="s">
        <v>334</v>
      </c>
      <c r="C1628" t="s">
        <v>309</v>
      </c>
    </row>
    <row r="1629" spans="1:3" ht="15" customHeight="1" x14ac:dyDescent="0.35">
      <c r="A1629">
        <v>125</v>
      </c>
      <c r="B1629" t="s">
        <v>335</v>
      </c>
      <c r="C1629" t="s">
        <v>310</v>
      </c>
    </row>
    <row r="1630" spans="1:3" ht="15" customHeight="1" x14ac:dyDescent="0.35">
      <c r="A1630">
        <v>126</v>
      </c>
      <c r="B1630" t="s">
        <v>336</v>
      </c>
      <c r="C1630" s="48" t="s">
        <v>311</v>
      </c>
    </row>
  </sheetData>
  <mergeCells count="1">
    <mergeCell ref="C1:J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Q1-Q21 Answers</vt:lpstr>
      <vt:lpstr>Q22-Q126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Kunjesh Parekh</cp:lastModifiedBy>
  <dcterms:created xsi:type="dcterms:W3CDTF">2026-03-08T11:33:09Z</dcterms:created>
  <dcterms:modified xsi:type="dcterms:W3CDTF">2026-07-13T08:31:57Z</dcterms:modified>
</cp:coreProperties>
</file>