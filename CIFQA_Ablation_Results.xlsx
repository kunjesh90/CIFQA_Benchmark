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HP\OneDrive\Desktop\D\BFL\ESWA\GIT\"/>
    </mc:Choice>
  </mc:AlternateContent>
  <xr:revisionPtr revIDLastSave="0" documentId="13_ncr:1_{62E48F09-2C94-48E7-A667-0F0A11AB6D2D}" xr6:coauthVersionLast="47" xr6:coauthVersionMax="47" xr10:uidLastSave="{00000000-0000-0000-0000-000000000000}"/>
  <bookViews>
    <workbookView xWindow="-110" yWindow="-110" windowWidth="19420" windowHeight="11500" xr2:uid="{00000000-000D-0000-FFFF-FFFF00000000}"/>
  </bookViews>
  <sheets>
    <sheet name="Ablation_CIFQ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 i="1" l="1"/>
  <c r="M1" i="1"/>
  <c r="K1" i="1"/>
  <c r="I1" i="1"/>
  <c r="G1" i="1"/>
</calcChain>
</file>

<file path=xl/sharedStrings.xml><?xml version="1.0" encoding="utf-8"?>
<sst xmlns="http://schemas.openxmlformats.org/spreadsheetml/2006/main" count="565" uniqueCount="431">
  <si>
    <t>Sr</t>
  </si>
  <si>
    <t>Queries</t>
  </si>
  <si>
    <t>Category</t>
  </si>
  <si>
    <t>Ablation_1_tenure_ans</t>
  </si>
  <si>
    <t>Ablation_2_rolling_yr_ans</t>
  </si>
  <si>
    <t>Ablation_3_exact_n_ans</t>
  </si>
  <si>
    <t>Ablation_4_Rate lookup_ans</t>
  </si>
  <si>
    <t>Ablation_5_Premature logic override_ans</t>
  </si>
  <si>
    <t>How much interest income I'll get in the first quarter of booking FD on 23Sep2024? FD booking amount 1,00,000, tenure 3 years.I am a senior citizen</t>
  </si>
  <si>
    <t>Quarterly Payout</t>
  </si>
  <si>
    <t>FD booking period: Between Feb 12, 2024 - Nov 11, 2024
Tenure: 3 years
You are a senior citizen, and your FD details are:
Principal (P): Rs. 1,00,000
Rate: 8.00% p.a. (senior citizen)
Tenure: 3 years
Type: Quarterly payout FD
Requested period: 1st quarter (2024-09-23 to 2024-12-23)
Rolling year days: 365
Interest = Principal x Rate x (Days / Year)
Interest = 1,00,000 x 0.08 x (91 / 365)
Interest = Rs. 1,994.52
Approx. Rs. 1,994.52 credited at the end of the first quarter.</t>
  </si>
  <si>
    <t>FD booking period: Between Feb 12, 2024 - Nov 11, 2024
Tenure: 3 years
Senior citizen rate: 8.0% p.a.
Type: Quarterly payout FD
Rolling year days: 365
Interest = Principal x Rate x (Days / Year)
Interest = 1,00,000 x 0.08 x (91 / 365)
Interest = Rs. 1,994.52
Approx. Rs. 1,994.52 credited at end of first quarter</t>
  </si>
  <si>
    <t>FD booking period: Between Feb 12, 2024 - Nov 11, 2024
Tenure: 3 years
Senior citizen rate: 8.0% p.a.
Type: Quarterly payout FD
Rolling year days: 365
Interest = Principal x Rate x (Days / Year)
For the first quarter: 
Period: 2024-09-23 to 2024-12-23
Days: 91
Calculation:
Interest = 1,00,000 x 0.08 x (91 / 365)
Interest = Rs. 1,994.52
Approx. Rs. 1,994.52 credited at the end of the first quarter.</t>
  </si>
  <si>
    <t>FD booking period: Between Sep 12, 2024 - Jun 14, 2025
Tenure: 1 to &lt;2 years -&gt; 8.0% (senior citizen)
Quarterly payout FD -&gt; exact days per quarter
Rolling year days: 365
Interest = Principal x Rate x (Days / Year)
Interest = 1,00,000 x 0.08 x (91 / 365)
Interest = Rs. 1,994.52
Approx. Rs. 1,994.52 credited at end of first quarter</t>
  </si>
  <si>
    <t>Booked FD on 23Sep2024. FD booking amount 1,00,000, tenure 3 years.I am a senior citizen. Howmuch interest income I will earn till maturity?It's quarterly intrest payout fd.</t>
  </si>
  <si>
    <t>FD booking period: Between Feb 12, 2024 - Nov 11, 2024
Principal (P): Rs. 1,00,000
Start date: 23 September 2024
Maturity: 23 September 2027
Senior citizen rate: 8.00% p.a.
Type: Quarterly payout FD
Interest calculation: Exact day count per quarter
Period                          Days  Calculation                          Interest
23 Sep 2024 -&gt; 23 Dec 2024       91   1,00,000 x 0.08 x (91/365)           Rs. 1,994.52
23 Dec 2024 -&gt; 23 Mar 2025       90   1,00,000 x 0.08 x (90/365)           Rs. 1,972.60
23 Mar 2025 -&gt; 23 Jun 2025       92   1,00,000 x 0.08 x (92/365)           Rs. 2,016.44
23 Jun 2025 -&gt; 23 Sep 2025       92   1,00,000 x 0.08 x (92/365)           Rs. 2,016.44
23 Sep 2025 -&gt; 23 Dec 2025       91   1,00,000 x 0.08 x (91/365)           Rs. 1,994.52
23 Dec 2025 -&gt; 23 Mar 2026       90   1,00,000 x 0.08 x (90/365)           Rs. 1,972.60
23 Mar 2026 -&gt; 23 Jun 2026       92   1,00,000 x 0.08 x (92/365)           Rs. 2,016.44
23 Jun 2026 -&gt; 23 Sep 2026       92   1,00,000 x 0.08 x (92/365)           Rs. 2,016.44
23 Sep 2026 -&gt; 23 Dec 2026       91   1,00,000 x 0.08 x (91/365)           Rs. 1,994.52
23 Dec 2026 -&gt; 23 Mar 2027       90   1,00,000 x 0.08 x (90/365)           Rs. 1,972.60
23 Mar 2027 -&gt; 23 Jun 2027       92   1,00,000 x 0.08 x (92/366)           Rs. 2,010.93
23 Jun 2027 -&gt; 23 Sep 2027       92   1,00,000 x 0.08 x (92/366)           Rs. 2,010.93
Final Accurate Payout Summary
-----------------------------------------------------
Component                                    Amount
-----------------------------------------------------
Total quarterly payouts credited             Rs. 23,988.98
-----------------------------------------------------
Total Interest on maturity                   Rs. 23,988.98
-----------------------------------------------------
You will receive 12 quarterly credits during the FD period, with a total interest of Rs. 23,988.98.</t>
  </si>
  <si>
    <t>FD booking period: Between Feb 12, 2024 - Nov 11, 2024
Tenure: 3 years
Principal (P): Rs. 1,00,000
Rate: 8.00% p.a. (senior citizen)
Type: Quarterly payout FD
Maturity Date: 2027-09-23
Interest calculation: Exact day count per quarter
Period          Days  Calculation                          Interest
2024-09-23 -&gt; 2024-12-23       91   1,00,000 x 0.08 x (91/365)           Rs. 1,994.52
2024-12-23 -&gt; 2025-03-23       90   1,00,000 x 0.08 x (90/365)           Rs. 1,972.60
2025-03-23 -&gt; 2025-06-23       92   1,00,000 x 0.08 x (92/365)           Rs. 2,016.44
2025-06-23 -&gt; 2025-09-23       92   1,00,000 x 0.08 x (92/365)           Rs. 2,016.44
2025-09-23 -&gt; 2025-12-23       91   1,00,000 x 0.08 x (91/365)           Rs. 1,994.52
2025-12-23 -&gt; 2026-03-23       90   1,00,000 x 0.08 x (90/365)           Rs. 1,972.60
2026-03-23 -&gt; 2026-06-23       92   1,00,000 x 0.08 x (92/365)           Rs. 2,016.44
2026-06-23 -&gt; 2026-09-23       92   1,00,000 x 0.08 x (92/365)           Rs. 2,016.44
2026-09-23 -&gt; 2026-12-23       91   1,00,000 x 0.08 x (91/365)           Rs. 1,994.52
2026-12-23 -&gt; 2027-03-23       90   1,00,000 x 0.08 x (90/365)           Rs. 1,972.60
2027-03-23 -&gt; 2027-06-23       92   1,00,000 x 0.08 x (92/366)           Rs. 2,010.93
2027-06-23 -&gt; 2027-09-23       92   1,00,000 x 0.08 x (92/366)           Rs. 2,010.93
Final Accurate Payout Summary
-----------------------------------------------------
Component                                    Amount
-----------------------------------------------------
Total quarterly payouts credited             Rs. 23,988.98
Your total earnings over the 3-year tenure will be Rs. 23,988.98.</t>
  </si>
  <si>
    <t>FD booking period: Between Feb 12, 2024 - Nov 11, 2024
Tenure: 3 years
Principal (P): Rs. 1,00,000
Rate: 8.00% p.a. (senior citizen)
Type: Quarterly payout FD
Maturity date: 2027-09-23
Interest calculation: Exact day count per quarter
Period          Days  Calculation                          Interest
2024-09-23 -&gt; 2024-12-23       91   1,00,000 x 0.08 x (91/365)           Rs. 1,994.52
2024-12-23 -&gt; 2025-03-23       90   1,00,000 x 0.08 x (90/365)           Rs. 1,972.60
2025-03-23 -&gt; 2025-06-23       92   1,00,000 x 0.08 x (92/365)           Rs. 2,016.44
2025-06-23 -&gt; 2025-09-23       92   1,00,000 x 0.08 x (92/365)           Rs. 2,016.44
2025-09-23 -&gt; 2025-12-23       91   1,00,000 x 0.08 x (91/365)           Rs. 1,994.52
2025-12-23 -&gt; 2026-03-23       90   1,00,000 x 0.08 x (90/365)           Rs. 1,972.60
2026-03-23 -&gt; 2026-06-23       92   1,00,000 x 0.08 x (92/365)           Rs. 2,016.44
2026-06-23 -&gt; 2026-09-23       92   1,00,000 x 0.08 x (92/365)           Rs. 2,016.44
2026-09-23 -&gt; 2026-12-23       91   1,00,000 x 0.08 x (91/365)           Rs. 1,994.52
2026-12-23 -&gt; 2027-03-23       90   1,00,000 x 0.08 x (90/365)           Rs. 1,972.60
2027-03-23 -&gt; 2027-06-23       92   1,00,000 x 0.08 x (92/365)           Rs. 2,016.44
2027-06-23 -&gt; 2027-09-23       92   1,00,000 x 0.08 x (92/365)           Rs. 2,016.44
Final Accurate Payout Summary
-----------------------------------------------------
Component                                    Amount
-----------------------------------------------------
Total quarterly payouts credited             Rs. 23,994.48 
Final partial payout at maturity             Rs. 0 
-----------------------------------------------------
Total Interest on maturity                   Rs. 23,994.48 
You will receive 12 quarterly credits during the FD period.
Your total earnings over the 3-year tenure will be Rs. 23,994.48 .</t>
  </si>
  <si>
    <t>FD booking period: Between Sep 12, 2024 - Mar 14, 2025
Tenure: 3 years
Principal (P): Rs. 1,00,000
Rate: 8.00% p.a. (senior citizen)
Type: Quarterly payout FD
Interest calculation: Exact day count per quarter
Period Schedule:
Period  | Days  | Calculation                          | Interest
---------|-------|--------------------------------------|-----------
2024-09-23 to 2024-12-23 | 91   | 1,00,000 x 0.08 x (91/365)           | Rs. 1,994.52
2024-12-23 to 2025-03-23 | 90   | 1,00,000 x 0.08 x (90/365)           | Rs. 1,972.60
2025-03-23 to 2025-06-23 | 92   | 1,00,000 x 0.08 x (92/365)           | Rs. 2,016.44
2025-06-23 to 2025-09-23 | 92   | 1,00,000 x 0.08 x (92/365)           | Rs. 2,016.44
2025-09-23 to 2025-12-23 | 91   | 1,00,000 x 0.08 x (91/365)           | Rs. 1,994.52
2025-12-23 to 2026-03-23 | 90   | 1,00,000 x 0.08 x (90/365)           | Rs. 1,972.60
2026-03-23 to 2026-06-23 | 92   | 1,00,000 x 0.08 x (92/365)           | Rs. 2,016.44
2026-06-23 to 2026-09-23 | 92   | 1,00,000 x 0.08 x (92/365)           | Rs. 2,016.44
2026-09-23 to 2026-12-23 | 91   | 1,00,000 x 0.08 x (91/365)           | Rs. 1,994.52
2026-12-23 to 2027-03-23 | 90   | 1,00,000 x 0.08 x (90/365)           | Rs. 1,972.60
2027-03-23 to 2027-06-23 | 92   | 1,00,000 x 0.08 x (92/366)           | Rs. 2,010.93
2027-06-23 to 2027-09-23 | 92   | 1,00,000 x 0.08 x (92/366)           | Rs. 2,010.93
Final Accurate Payout Summary:
--------------------------------
Component                                    Amount
--------------------------------
Total quarterly payouts credited             Rs. 23,988.98
Your total earnings over the 3-year tenure will be Rs. 23,988.98.</t>
  </si>
  <si>
    <t>Why did I receive only 1795 at the end of first quarter for my FD booked of 1lac on 23Sep2024 for 3 years tenure, interest payout quarterly.I am a senior citizen.</t>
  </si>
  <si>
    <t>TDS / Mismatch</t>
  </si>
  <si>
    <t>FD booking period: "Between Feb 12, 2024 - Nov 11, 2024"
Tenure: 3 years
You are a senior citizen.
Type: Quarterly payout FD
Rolling year days: 365
Interest for the first quarter = Principal x Rate x (Days / Year)
= 1,00,000 x 0.08 x (91 / 365)
= Rs. 1,994.52
You mentioned that you received only Rs. 1795 at the end of the first quarter.
Let's check the TDS scenarios:
Gross Interest:          Rs. 1,994.52
After 0%  TDS (Form 15H/15G): Rs. 1,994.52
After 5%  TDS:           Rs. 1,894.79
After 10% TDS (PAN):     Rs. 1,795.07
After 20% TDS (no PAN):  Rs. 1,595.62
Your received amount of Rs. 1795 matches the 10% TDS scenario.
âœ… Your received amount of Rs. 1795 matches the 10% TDS scenario.
Gross Rs. 1,994.52 â†’ TDS Rs. 199.45 â†’ Net Rs. 1795.07.
TDS was deducted as PAN is registered. Submit Form 15H (senior) or 15G (regular) to avoid future deductions if your income is within limits.</t>
  </si>
  <si>
    <t>âš ï¸ Rate Correction: You mentioned no specific rate but the applicable rate for your FD (3 years, senior citizen, booked on 23 Sep 2024) is 8.0% p.a. as per the rate card.
All calculations below use 8.0%.
FD booking period: "Between Feb 12, 2024 - Nov 11, 2024"
Tenure: 3 years
You booked a senior citizen FD of Rs. 1,00,000 on 23 Sep 2024 for 3 years with quarterly interest payouts.
First quarterly interest period: 23 Sep 2024 to 23 Dec 2024 (91 days)
Rolling year days: 365
Interest = Principal x Rate x (Days / Year)
Interest = 1,00,000 x 0.08 x (91 / 365)
Interest = Rs. 1,994.52
You mentioned receiving only Rs. 1795 at the end of the first quarter.
Let's check the TDS scenarios:
Gross Interest:          Rs. 1,994.52
After 0%  TDS (Form 15H/15G): Rs. 1,994.52
After 5%  TDS:           Rs. 1,894.79
After 10% TDS (PAN):     Rs. 1,795.07
After 20% TDS (no PAN):  Rs. 1,595.62
Your received amount of Rs. 1795 matches the 10% TDS scenario.
Gross Rs. 1,994.52 â†’ TDS Rs. 199.45 â†’ Net Rs. 1,795.07.
TDS was deducted as PAN is registered. Submit Form 15H (senior) to avoid future deductions if your income is within limits.</t>
  </si>
  <si>
    <t>âš ï¸ Rate Correction: You mentioned no specific rate but the applicable rate for your FD (3 years, senior citizen, booked on 23 Sep 2024) is 8.0% p.a. as per the rate card.
All calculations below use 8.0%.
FD booking period: "Between Feb 12, 2024 - Nov 11, 2024"
Tenure: 3 years
You booked a senior citizen FD of Rs. 1,00,000 on 23 Sep 2024 for 3 years with quarterly interest payouts.
First quarterly interest period: 23 Sep 2024 to 23 Dec 2024 (91 days)
Rolling year days: 365
Interest = Principal x Rate x (Days / Year)
Interest = 1,00,000 x 0.08 x (91 / 365)
Interest = Rs. 1,994.52
You received Rs. 1,795 on 31 Mar 2026 (end of first quarter).
Let's check the TDS scenarios:
Gross Interest:          Rs. 1,994.52
After 0%  TDS:           Rs. 1,994.52
After 10% TDS:           Rs. 1,795.07
After 20% TDS:           Rs. 1,595.62
Your received amount of Rs. 1,795 matches the 10% TDS scenario.
Gross Rs. 1,994.52 â†’ TDS Rs. 199.45 â†’ Net Rs. 1,795.07.
TDS was deducted as PAN is registered. Submit Form 15H (senior) to avoid future deductions if your income is within limits.</t>
  </si>
  <si>
    <t>âš ï¸ Rate Correction: You mentioned no specific rate but the applicable rate for your FD (3 years, senior citizen, booked on 23 Sep 2024) is 8.0% p.a. as per the rate card.
All calculations below use 8.0%.
FD booking period: Between Sep 23, 2024 - Jun 14, 2025 
Tenure: 1 to &lt;2 years -&gt; Not applicable; 3 years: 8.0% (senior citizen)
Quarterly payout FD -&gt; exact days per quarter
Rolling year days: 365
You booked an FD of Rs. 1,00,000 on 23rd September 2024 for 3 years. You are a senior citizen.
Interest = Principal x Rate x (Days / Year)
For the first quarter: 
Interest = 1,00,000 x 0.08 x (91 / 365)
Interest = Rs. 1,994.52
As a senior citizen, you are eligible for a higher interest rate. 
You mentioned that you received only Rs. 1795 at the end of the first quarter.
Let's check the TDS scenarios:
Gross Interest:          Rs. 1,994.52
After 0%  TDS (Form 15H/15G): Rs. 1,994.52
After 10% TDS (PAN):     Rs. 1,795.07
After 20% TDS (no PAN):  Rs. 1,595.62
âœ… Your received amount of Rs. 1795 matches the 10% TDS scenario.
Gross Rs. 1,994.52 â†’ TDS Rs. 199.45 â†’ Net Rs. 1795.07.
TDS was deducted as PAN is registered. Submit Form 15H (senior) 
or 15G (regular) to avoid future deductions if your income is within limits.</t>
  </si>
  <si>
    <t>I booked an FD of ₹2,50,000 on 5th January 2025 for 18 months. I am a normal citizen. How much 1st quarterly interest will I receive?</t>
  </si>
  <si>
    <t>FD booking period: Between Nov 12, 2024 - Jun 14, 2025
Tenure: 1 to &lt;2 years -&gt; 6.75% (regular citizen)
Quarterly payout FD -&gt; exact days per quarter
Rolling year days: 365
Interest = Principal x Rate x (Days / Year)
Interest = 2,50,000 x 0.0675 x (90 / 365)
Interest = Rs. 4,160.96
Approx. Rs. 4,160.96 credited at end of first quarter.</t>
  </si>
  <si>
    <t>FD booking period: Between Nov 12, 2024 - Jun 14, 2025
Tenure: 1 to &lt;2 years -&gt; 6.75% (regular citizen)
Quarterly payout FD -&gt; exact days per quarter
Rolling year days: 365
Interest = Principal x Rate x (Days / Year)
Interest = 2,50,000 x 0.0675 x (90 / 365)
Interest = Rs. 4,160.96
Approx. Rs. 4,160.96 credited at end of first quarter</t>
  </si>
  <si>
    <t>FD booked ₹50,000 on 20 June 2025 for 400 days, senior citizen. Interest payout quarterly. How much will I get each quarter?</t>
  </si>
  <si>
    <t>FD booking period: Between Jun 15, 2025 - Dec 31, 2099
Principal (P): Rs. 50,000
Start date: 20 June 2025
Maturity: 400 days later -&gt; 25 July 2026
Senior citizen rate: 6.75% p.a.
Type: Quarterly payout FD
Interest calculation: Exact day count per quarter
Period                          Days  Calculation                          Interest
20 Jun 2025 -&gt; 20 Sep 2025       92   50,000 x 0.0675 x (92/365)           Rs.   850.68
20 Sep 2025 -&gt; 20 Dec 2025       91   50,000 x 0.0675 x (91/365)           Rs.   841.44
20 Dec 2025 -&gt; 20 Mar 2026       90   50,000 x 0.0675 x (90/365)           Rs.   832.19
20 Mar 2026 -&gt; 20 Jun 2026       92   50,000 x 0.0675 x (92/365)           Rs.   850.68
20 Jun 2026 -&gt; 25 Jul 2026       35   50,000 x 0.0675 x (35/365)           Rs.   323.63
Final Accurate Payout Summary
-----------------------------------------------------
Component                                    Amount
-----------------------------------------------------
Total quarterly payouts credited             Rs. 3,698.63
-----------------------------------------------------
Total Interest on maturity                   Rs. 3,698.63
-----------------------------------------------------
You will receive 4 quarterly credits during the FD period, followed by a final partial interest payout at maturity.
Your total earnings over the 400-day tenure will be Rs. 3,698.63.</t>
  </si>
  <si>
    <t>FD booking period: Between Jun 15, 2025 - Dec 31, 2099
Principal (P): Rs. 50,000
Start date: 20 June 2025
Maturity: 400 days later -&gt; 25 July 2026
Senior citizen rate: 6.75% p.a.
Type: Quarterly payout FD
Interest calculation: Exact day count per quarter
Period                          Days  Calculation                          Interest
20 Jun 2025 -&gt; 20 Sep 2025       92   50,000 x 0.0675 x (92/365)           Rs.   850.68
20 Sep 2025 -&gt; 20 Dec 2025       91   50,000 x 0.0675 x (91/365)           Rs.   841.44
20 Dec 2025 -&gt; 20 Mar 2026       90   50,000 x 0.0675 x (90/365)           Rs.   832.19
20 Mar 2026 -&gt; 20 Jun 2026       92   50,000 x 0.0675 x (92/365)           Rs.   850.68
20 Jun 2026 -&gt; 25 Jul 2026       35   50,000 x 0.0675 x (35/365)           Rs.   323.63
Final Accurate Payout Summary
-----------------------------------------------------
Component                                    Amount
-----------------------------------------------------
Total quarterly payouts credited             Rs. 3,698.63
You will receive 4 quarterly credits during the FD period, followed by a final partial interest payout at maturity.
Your total earnings over the 400-day tenure will be Rs. 3,698.63.</t>
  </si>
  <si>
    <t>FD booking period: Between Jun 20, 2025 - Jul 25, 2026
# â†‘ This comes from "Rate Source" in FD DETAILS. 
Principal (P): Rs. 50,000
Start date: 20 June 2025
Maturity: 400 days later -&gt; 25 July 2026
Senior citizen rate: 7.10% p.a.
Type: Quarterly payout FD
Interest calculation: Exact day count per quarter
Period                          Days  Calculation                          Interest
20 Jun 2025 -&gt; 20 Sep 2025       92   50,000 x 0.071 x (92/365)           Rs.   894.79
20 Sep 2025 -&gt; 20 Dec 2025       91   50,000 x 0.071 x (91/365)           Rs.   885.07
20 Dec 2025 -&gt; 20 Mar 2026       90   50,000 x 0.071 x (90/365)           Rs.   875.34
20 Mar 2026 -&gt; 20 Jun 2026       92   50,000 x 0.071 x (92/365)           Rs.   894.79
20 Jun 2026 -&gt; 25 Jul 2026       35   50,000 x 0.071 x (35/365)           Rs.   340.41
(final partial)
Final Accurate Payout Summary
-----------------------------------------------------
Component                                    Amount
-----------------------------------------------------
Total quarterly payouts credited             Rs. 3,550.00
Final partial payout at maturity (35 days)   Rs.   340.41
-----------------------------------------------------
Total Interest on maturity                   Rs. 3,890.41
-----------------------------------------------------
You will receive 4 quarterly credits during the FD period, followed by a final partial interest payout at maturity.
Your total earnings over the 400-day tenure will be Rs. 3,890.41.</t>
  </si>
  <si>
    <t>FD ₹3,00,000 booked on 10 October 2024 for 5 years, senior citizen, quarterly payout. How much interest in first quarter?</t>
  </si>
  <si>
    <t>FD booking period: Between Feb 12, 2024 - Nov 11, 2024
Tenure: 5 years
Senior citizen rate: 7.65% p.a.
Type: Quarterly payout FD
Rolling year days: 365
Interest = Principal x Rate x (Days / Year)
For the first quarter: 
Period: 2024-10-10 to 2025-01-10
Days: 92
Interest = 3,00,000 x 0.0765 x (92 / 365)
Interest = Rs. 5,784.66
Approx. Rs. 5,784.66 credited at the end of the first quarter.</t>
  </si>
  <si>
    <t>FD booking period: Between Feb 12, 2024 - Nov 11, 2024
Tenure: 5 years
Senior citizen rate: 7.65% p.a.
Type: Quarterly payout FD
Rolling year days: 365
Interest = Principal x Rate x (Days / Year)
For the first quarter: 
Period: 2024-10-10 to 2025-01-10
Days: 92
Calculation:
Interest = 3,00,000 x 0.0765 x (92 / 365)
Interest = Rs. 5,784.66
Approx. Rs. 5,784.66 credited at the end of the first quarter.</t>
  </si>
  <si>
    <t>FD booking period: Between Oct 12, 2024 - Oct 14, 2025
Tenure: 5 years
Rolling year days: 365
Interest = Principal x Rate x (Days / Year)
For the first quarter: 
Period: 2024-10-10 to 2025-01-10
Interest = 3,00,000 x 0.0765 x (92 / 365)
Interest = Rs. 5,784.66
Approx. Rs. 5,784.66 credited at the end of the first quarter.</t>
  </si>
  <si>
    <t>I booked a ₹2,00,000 FD on 15 October 2024 for 2 years as a senior citizen with quarterly payout. I received only ₹3,125 this quarter. Why did I get less interest on 15Jan2025?</t>
  </si>
  <si>
    <t>FD booking period: Between Feb 12, 2024 - Nov 11, 2024
Tenure: 2 years
You are a senior citizen with a quarterly payout FD.
Interest for the period 15 Oct 2024 to 15 Jan 2025:
Rolling year days: 365
Interest = Principal x Rate x (Days / Year)
Interest = 2,00,000 x 0.0775 x (92 / 365)
Interest = Rs. 3,906.85
This is your gross interest.
You mentioned that you received only Rs. 3,125 this quarter.
Let's check the TDS scenarios:
Gross Interest:          Rs. 3,906.85
After 0%  TDS (Form 15H/15G): Rs. 3,906.85
After 5%  TDS:           Rs. 3,711.51
After 10% TDS (PAN):     Rs. 3,516.16
After 20% TDS (no PAN):  Rs. 3,125.48
Your received amount of Rs. 3,125 matches the 20% TDS scenario.
Gross Rs. 3,906.85 â†’ TDS Rs. 781.37 â†’ Net Rs. 3,125.48.
TDS was deducted at 20% as PAN may not be linked. Please link your PAN with the bank to reduce TDS to 10%.</t>
  </si>
  <si>
    <t>FD booking period: Between Feb 12, 2024 - Nov 11, 2024
Tenure: 2 years
You are a senior citizen with a 7.75% p.a. interest rate.
Rolling year days: 365
Interest = Principal x Rate x (Days / Year)
Interest = 2,00,000 x 0.0775 x (92 / 365)
Interest = Rs. 3,906.85
Approx. Rs. 3,906.85 credited at end of first quarter
You received Rs. 3,125 this quarter.
âœ… Your received amount of Rs. 3,125 matches the 20% TDS scenario.
Gross Rs. 3,906.85 â†’ TDS Rs. 781.37 â†’ Net Rs. 3,125.48. 
TDS was deducted at 20% as PAN may not be linked. Please link your PAN with the bank to reduce TDS to 10%.</t>
  </si>
  <si>
    <t>FD booking period: Between Oct 12, 2024 - Oct 14, 2025
Tenure: 2 years
You are a senior citizen with a quarterly payout FD.
Rolling year days: 365
Interest for the period 15 Oct 2024 to 15 Jan 2025:
Interest = Principal x Rate x (Days / Year)
= 2,00,000 x 0.0775 x (92 / 365)
= 2,00,000 x 0.0775 x 0.252
= 2,00,000 x 0.0195
= Rs. 3,906.85
This is your gross interest.
You mentioned you received only Rs. 3,125 this quarter.
Let's check the TDS scenarios:
Gross Interest:          Rs. 3,906.85
After 0%  TDS (Form 15H/15G): Rs. 3,906.85
After 5%  TDS:           Rs. 3,711.51
After 10% TDS (PAN):     Rs. 3,516.16
After 20% TDS (no PAN):  Rs. 3,125.48
Your received amount of Rs. 3,125 matches the 20% TDS scenario.
Gross Rs. 3,906.85 â†’ TDS Rs. 781.37 â†’ Net Rs. 3,125.48.
Since TDS was deducted at 20%, your PAN may not be linked. Please link your PAN with the bank to reduce TDS to 10%.</t>
  </si>
  <si>
    <t>FD ₹1,50,000 booked on 28 Oct 2024 for 3 years, senior citizen, cumulative quarterly. How much will I receive at maturity?</t>
  </si>
  <si>
    <t>Cumulative FD</t>
  </si>
  <si>
    <t>FD Type: Cumulative with Quarterly Compounding
Principal: Rs. 1,50,000
Rate: 8.00% p.a. (senior citizen)
Tenure: 3 years
âš ï¸ Rate Correction: You didn't mention the interest rate, so we will proceed with the applicable rate of 8.00% p.a. as per the rate card.
Formula: A = P x (1 + r/400)^(4 x T)
Calculation:
Step 1: r/400 = 8.0/400 = 0.02
Step 2: 1 + 0.02 = 1.02
Step 3: 4 x T = 4 x 3 = 12
Step 4: (1.02)^12 = 1.2682418
Step 5: A = 1,50,000 x 1.2682418 = Rs. 1,90,236.27
Total Interest = Rs. 1,90,236.27 - Rs. 1,50,000 = Rs. 40,236.27
At maturity, you will receive Rs. 1,90,236.27 (earning Rs. 40,236.27 in interest).</t>
  </si>
  <si>
    <t>FD Type: Cumulative with Quarterly Compounding
Principal: Rs. 1,50,000
Rate: 8.00% p.a. (senior citizen)
Tenure: 3 years
FD booking period: Between Feb 12, 2024 - Nov 11, 2024
Formula: A = P x (1 + r/400)^(4 x T)
Calculation:
Step 1: r/400 = 8.0/400 = 0.02
Step 2: 1 + 0.02 = 1.02
Step 3: 4 x T = 4 x 3 = 12
Step 4: (1.02)^12 = 1.2682418
Step 5: A = 1,50,000 x 1.2682418 = Rs. 1,90,236.27
Total Interest = Rs. 1,90,236.27 - Rs. 1,50,000 = Rs. 40,236.27
At maturity, you will receive Rs. 1,90,236.27 (earning Rs. 40,236.27 in interest).</t>
  </si>
  <si>
    <t>FD Type: Cumulative with Quarterly Compounding
Principal: Rs. 1,50,000
Rate: 8.00% p.a. (senior citizen)
Tenure: 3 years
âš ï¸ Rate Correction: You mentioned no rate but the applicable rate for your FD (3 years, senior citizen, booked 28 Oct 2024) is 8.00% p.a. as per the rate card.
All calculations below use 8.00%.
Formula: A = P x (1 + r/400)^(4 x T)
Calculation:
Step 1: r/400 = 8.0/400 = 0.02
Step 2: 1 + 0.02 = 1.02
Step 3: 4 x T = 4 x 3 = 12
Step 4: (1.02)^12 = 1.2682418
Step 5: A = 1,50,000 x 1.2682418 = Rs. 1,90,236.27
Total Interest = Rs. 1,90,236.27 - Rs. 1,50,000 = Rs. 40,236.27
At maturity, you will receive Rs. 1,90,236.27 (earning Rs. 40,236.27 in interest).</t>
  </si>
  <si>
    <t>FD ₹2,00,000 booked on 5 June 2025 for 5 years, regular citizen, cumulative quarterly. What is the maturity amount and interest earned?</t>
  </si>
  <si>
    <t>FD Type: Cumulative with Quarterly Compounding
Principal: Rs. 2,00,000
Rate: 6.35% p.a. (regular citizen)
Tenure: 5 years
Formula: A = P x (1 + r/400)^(4 x T)
Calculation:
Step 1: r/400 = 6.35/400 = 0.015875
Step 2: 1 + 0.015875 = 1.015875
Step 3: 4 x T = 4 x 5 = 20
Step 4: (1.015875)^20 = 1.3702678
Step 5: A = 2,00,000 x 1.3702678 = Rs. 2,74,053.56
Total Interest = Rs. 2,74,053.56 - Rs. 2,00,000 = Rs. 74,053.56
At maturity, you will receive Rs. 2,74,053.56 (earning Rs. 74,053.56 in interest).</t>
  </si>
  <si>
    <t>If I book  an FD of ₹1,00,000 on 16th  April 2025 for 244 days, senior citizen , I am NRI. Interest  is payed out  quarterly. How much will I get  on 3rd Quarter?</t>
  </si>
  <si>
    <t>FD booking period: Between Nov 12, 2024 - Jun 14, 2025
Tenure: 244 days
Payout Type: Quarterly payout FD
Interest Rate: 7.3% p.a. (senior citizen)
Rolling year days: 365
Period 3: 2025-10-16 to 2025-12-16 (61 days)
Interest = Principal x Rate x (Days / Year)
Interest = 1,00,000 x 0.073 x (61 / 365)
Interest = Rs. 1,220
Approx. Rs. 1,220 credited at end of 3rd quarter.</t>
  </si>
  <si>
    <t>FD booking period: Between Nov 12, 2024 - Jun 14, 2025
Tenure: Less than 1 year -&gt; Quarterly payout FD
Rolling year days: 365
Interest payout frequency: Quarterly
As a senior citizen NRI, you are eligible for a 7.3% p.a. interest rate.
Calculation for 3rd Quarter:
Period: 2025-10-16 to 2025-12-16
Days: 61
Rolling year days: 365
Interest = Principal x Rate x (Days / Year)
Interest = 1,00,000 x 0.073 x (61 / 365)
Interest = Rs. 1,220
Approx. Rs. 1,220 credited at end of 3rd quarter.</t>
  </si>
  <si>
    <t>FD booking period: Between Apr 16, 2025 - Dec 16, 2025
Tenure: 244 days
Payout Type: Quarterly payout FD
Rolling year days: 365
As a senior citizen NRI, you are eligible for a 7.3% p.a. interest rate.
Interest calculation for 3rd Quarter:
Period: 2025-10-16 to 2025-12-16 (61 days)
Interest = Principal x Rate x (Days / Year)
= 1,00,000 x 0.073 x (61 / 365)
= 1,00,000 x 0.073 x 0.16712
= Rs. 1,220
Approx. Rs. 1,220 credited at end of 3rd quarter.</t>
  </si>
  <si>
    <t>If I book FD of Rs. 5 Cr on 19th Feb 2024 for 2 years, How much interest will I get?
I am Senior citizen NRI.</t>
  </si>
  <si>
    <t>FD Type: Cumulative with Quarterly Compounding
Principal: Rs. 5,00,00,000
Rate: 7.8% p.a. (senior citizen NRI)
Tenure: 2 years
âš ï¸ Rate Correction: You didn't mention the interest rate, but the applicable rate for your FD (2 years, senior citizen NRI, booked on 19 Feb 2024) is 7.8% p.a. as per the rate card.
Formula: A = P x (1 + r/400)^(4 x T)
Calculation:
Step 1: r/400 = 7.8/400 = 0.0195
Step 2: 1 + 0.0195 = 1.0195
Step 3: 4 x T = 4 x 2 = 8
Step 4: (1.0195)^8 = 1.1670725
Step 5: A = 5,00,00,000 x 1.1670725 = Rs. 5,83,53,625
Total Interest = Rs. 5,83,53,625 - Rs. 5,00,00,000 = Rs. 83,53,625
At maturity, you will receive Rs. 5,83,53,625 (earning Rs. 83,53,625 in interest).</t>
  </si>
  <si>
    <t>FD Type: Cumulative with Quarterly Compounding
Principal: Rs. 5,00,00,000
Rate: 7.8% p.a. (senior citizen NRI)
Tenure: 2 years
FD booking period: Between Feb 12, 2024 - Nov 11, 2024
Formula: A = P x (1 + r/400)^(4 x T)
Calculation:
Step 1: r/400 = 7.8/400 = 0.0195
Step 2: 1 + 0.0195 = 1.0195
Step 3: 4 x T = 4 x 2 = 8
Step 4: (1.0195)^8 = 1.1670725
Step 5: A = 5,00,00,000 x 1.1670725 = Rs. 5,83,53,625
Total Interest = Rs. 5,83,53,625 - Rs. 5,00,00,000 = Rs. 83,53,625
At maturity, you will receive Rs. 5,83,53,625 (earning Rs. 83,53,625 in interest).</t>
  </si>
  <si>
    <t>FD Type: Cumulative with Quarterly Compounding
Principal: Rs. 5,00,00,000
Rate: 7.8% p.a. (senior citizen NRI)
Tenure: 2 years
âš ï¸ Rate Correction: You mentioned no rate but the applicable rate for your FD (2 years, senior citizen, booked on 19 Feb 2024) is 7.8% p.a. as per the rate card.
All calculations below use 7.8%.
Formula: A = P x (1 + r/400)^(4 x T)
Calculation:
Step 1: r/400 = 7.8/400 = 0.0195
Step 2: 1 + 0.0195 = 1.0195
Step 3: 4 x T = 4 x 2 = 8
Step 4: (1.0195)^8 = 1.1670725
Step 5: A = 5,00,00,000 x 1.1670725 = Rs. 5,83,53,625
Total Interest = Rs. 5,83,53,625 - Rs. 5,00,00,000 = Rs. 83,53,625
At maturity, you will receive Rs. 5,83,53,625 (earning Rs. 83,53,625 in interest).</t>
  </si>
  <si>
    <t>FD Type: Cumulative with Quarterly Compounding
Principal: Rs. 5,00,00,000
Rate: 7.8% p.a. (senior citizen NRI)
Tenure: 2 years
Formula: A = P x (1 + r/400)^(4 x T)
Calculation:
Step 1: r/400 = 7.8/400 = 0.0195
Step 2: 1 + 0.0195 = 1.0195
Step 3: 4 x T = 4 x 2 = 8
Step 4: (1.0195)^8 = 1.1670725
Step 5: A = 5,00,00,000 x 1.1670725 = Rs. 5,83,53,625
Total Interest = Rs. 5,83,53,625 - Rs. 5,00,00,000 = Rs. 83,53,625
At maturity, you will receive Rs. 5,83,53,625 (earning Rs. 83,53,625 in interest).</t>
  </si>
  <si>
    <t>I booked FD for Rs. 1,00,000 on 4th of July 2024 for 3 years quarterly payout , I received Rs. 1512,Why did I receive less on 4th October 2024 ?</t>
  </si>
  <si>
    <t>FD booking period: Between Feb 12, 2024 - Nov 11, 2024
Tenure: 3 years
You booked a Fixed Deposit of Rs. 1,00,000 on July 4, 2024, for 3 years with quarterly payouts.
âš ï¸ Rate Correction: You didn't mention the interest rate, but the applicable rate for your FD (3 years, regular citizen, booked July 4, 2024) is 7.5% p.a. as per the rate card.
The first quarterly payout period is from July 4, 2024, to October 4, 2024, which has 92 days.
Rolling year days: 365
Interest = Principal x Rate x (Days / Year)
Interest = 1,00,000 x 0.075 x (92 / 365)
Interest = Rs. 1,890.41
This is the gross interest for the first quarter.
You mentioned receiving Rs. 1512. Let's check the TDS scenarios:
Gross Interest:          Rs. 1,890.41
After 0%  TDS (Form 15H/15G): Rs. 1,890.41
After 5%  TDS:           Rs. 1,795.89
After 10% TDS (PAN):     Rs. 1,701.37
After 20% TDS (no PAN):  Rs. 1,512.33
Your received amount of Rs. 1512 matches the 20% TDS scenario.
Gross Rs. 1,890.41 â†’ TDS Rs. 378.08 â†’ Net Rs. 1512.33.
TDS was deducted at 20% as PAN may not be linked. Please link your PAN with the bank to reduce TDS to 10%.</t>
  </si>
  <si>
    <t>FD booking period: Between Feb 12, 2024 - Nov 11, 2024
Tenure: 3 years
You booked a Fixed Deposit (FD) of Rs. 1,00,000 on July 4, 2024, for 3 years with quarterly payouts.
The first quarterly payout period is from July 4, 2024, to October 4, 2024 (92 days).
Rolling year days: 365
Interest = Principal x Rate x (Days / Year)
Interest = 1,00,000 x 0.075 x (92 / 365)
Interest = Rs. 1,890.41
You received Rs. 1,512 on October 4, 2024.
Let's analyze the TDS scenarios:
Gross Interest:          Rs. 1,890.41
After 0%  TDS:           Rs. 1,890.41
After 10% TDS:           Rs. 1,701.37
After 20% TDS:           Rs. 1,512.33
Your received amount of Rs. 1,512 matches the 20% TDS scenario.
Gross Rs. 1,890.41 â†’ TDS Rs. 378.08 â†’ Net Rs. 1,512.33.
Since 20% TDS was deducted, it's possible that your PAN may not be linked with the bank. Please link your PAN with the bank to reduce TDS to 10%.</t>
  </si>
  <si>
    <t>FD booking period: Between Feb 12, 2024 - Nov 11, 2024
Tenure: 3 years
You booked a Fixed Deposit (FD) of Rs. 1,00,000 on July 4, 2024, for 3 years with quarterly payouts.
The first quarterly payout period is from July 4, 2024, to October 4, 2024, which is 92 days.
Rolling year days: 365
Interest = Principal x Rate x (Days / Year)
Interest = 1,00,000 x 0.075 x (92 / 365)
Interest = Rs. 1,890.41
You received Rs. 1,512 on October 4, 2024.
Let's check the TDS scenarios:
Gross Interest:          Rs. 1,890.41
After 0%  TDS:           Rs. 1,890.41
After 10% TDS:           Rs. 1,701.37
After 20% TDS:           Rs. 1,512.33
Your received amount of Rs. 1,512 matches the 20% TDS scenario.
Gross Rs. 1,890.41 â†’ TDS Rs. 378.08 â†’ Net Rs. 1,512.33.
Since 20% TDS was deducted, it's possible that your PAN may not be linked with the bank. Please link your PAN with the bank to reduce TDS to 10%.</t>
  </si>
  <si>
    <t>FD booking period: Between Jul 4, 2024 - Jul 4, 2027
Tenure: 3 years
Payout Type: Quarterly payout FD
Rolling year days: 365
You booked an FD of Rs. 1,00,000 on 4th July 2024 for 3 years with quarterly payouts.
The first quarterly interest period is: 4 Jul 2024 to 4 Oct 2024 (92 days)
Interest = Principal x Rate x (Days / Year)
Interest = 1,00,000 x 0.075 x (92 / 365)
Interest = Rs. 1,890.41
You received Rs. 1512 on 4th October 2024.
Let's check the TDS scenarios:
Gross Interest:          Rs. 1,890.41
After 0%  TDS (Form 15H/15G): Rs. 1,890.41
After 5%  TDS:           Rs. 1,795.89
After 10% TDS (PAN):     Rs. 1,701.37
After 20% TDS (no PAN):  Rs. 1,512.33
Your received amount of Rs. 1512 matches the 20% TDS scenario.
Gross Rs. 1,890.41 â†’ TDS Rs. 378.08 â†’ Net Rs. 1,512.33.
Since 20% TDS was deducted, your PAN may not be linked to your bank account. 
To reduce TDS to 10%, please link your PAN with the bank.</t>
  </si>
  <si>
    <t>I booked an FD of Rs. 5,00,000 on 30th November 2023 for 9 months. How much will I receive monthly ? I am a senior citizen.</t>
  </si>
  <si>
    <t>Monthly Payout</t>
  </si>
  <si>
    <t>FD booking period: Between Jan 01, 2000 - Feb 11, 2024
Tenure: 9 months (274 days)
You are a senior citizen, and your applicable rate is 8.5% p.a.
Type: Monthly payout FD
Rolling year days: 
Period 1: 366 
Period 2: 366 
Period 3: 366 
Period 4: 365 
Period 5: 365 
Period 6: 365 
Period 7: 365 
Period 8: 365 
Period 9: 365 
Here are the monthly payouts:
Period                          Days  Calculation                          Interest
2023-11-30 to 2023-12-30       30   5,00,000 x 0.085 x (30/366)           Rs. 3,483.61
2023-12-30 to 2024-01-30       31   5,00,000 x 0.085 x (31/366)           Rs. 3,599.73
2024-01-30 to 2024-02-29       30   5,00,000 x 0.085 x (30/366)           Rs. 3,483.61
2024-02-29 to 2024-03-30       30   5,00,000 x 0.085 x (30/365)           Rs. 3,493.15
2024-03-30 to 2024-04-30       31   5,00,000 x 0.085 x (31/365)           Rs. 3,609.59
2024-04-30 to 2024-05-30       30   5,00,000 x 0.085 x (30/365)           Rs. 3,493.15
2024-05-30 to 2024-06-30       31   5,00,000 x 0.085 x (31/365)           Rs. 3,609.59
2024-06-30 to 2024-07-30       30   5,00,000 x 0.085 x (30/365)           Rs. 3,493.15
2024-07-30 to 2024-08-30       31   5,00,000 x 0.085 x (31/365)           Rs. 3,609.59
Final Accurate Payout Summary
-----------------------------------------------------
Component                                    Amount
-----------------------------------------------------
Total monthly payouts credited             Rs. 31,875.16
-----------------------------------------------------
Your total earnings over the 9-month tenure will be Rs. 31,875.16.</t>
  </si>
  <si>
    <t>FD booking period: Between Jan 01, 2000 - Feb 11, 2024
Tenure: 9 months -&gt; 274 days
You are a senior citizen, and your applicable rate is 8.5% p.a.
Type: Monthly payout FD
Here are the monthly payouts:
Period                          Days  Calculation                          Interest
2023-11-30 to 2023-12-30       30   5,00,000 x 0.085 x (30/366)           Rs.   3,483.61
2023-12-30 to 2024-01-30       31   5,00,000 x 0.085 x (31/366)           Rs.   3,599.73
2024-01-30 to 2024-02-29       30   5,00,000 x 0.085 x (30/366)           Rs.   3,483.61
2024-02-29 to 2024-03-30       30   5,00,000 x 0.085 x (30/365)           Rs.   3,493.15
2024-03-30 to 2024-04-30       31   5,00,000 x 0.085 x (31/365)           Rs.   3,609.59
2024-04-30 to 2024-05-30       30   5,00,000 x 0.085 x (30/365)           Rs.   3,493.15
2024-05-30 to 2024-06-30       31   5,00,000 x 0.085 x (31/365)           Rs.   3,609.59
2024-06-30 to 2024-07-30       30   5,00,000 x 0.085 x (30/365)           Rs.   3,493.15
2024-07-30 to 2024-08-30       31   5,00,000 x 0.085 x (31/365)           Rs.   3,609.59
Final Accurate Payout Summary
-----------------------------------------------------
Component                                    Amount
-----------------------------------------------------
Total monthly payouts credited             Rs. 31,875.16
-----------------------------------------------------
Your total earnings over the 9-month tenure will be Rs. 31,875.16.</t>
  </si>
  <si>
    <t>FD booking period: Between Jan 01, 2000 - Feb 11, 2024
Tenure: 9 months -&gt; 274 days
You are a senior citizen, and your applicable rate is 8.5% p.a.
Type: Monthly payout FD
Rolling year days: 365 (standard)
Here's your monthly payout schedule:
Period                          Days  Calculation                          Interest
2023-11-30 to 2023-12-30       30   5,00,000 x 0.085 x (30/365)           Rs.  3,493.15
2023-12-30 to 2024-01-30       31   5,00,000 x 0.085 x (31/365)           Rs.  3,609.59
2024-01-30 to 2024-02-29       30   5,00,000 x 0.085 x (30/365)           Rs.  3,493.15
2024-02-29 to 2024-03-30       30   5,00,000 x 0.085 x (30/365)           Rs.  3,493.15
2024-03-30 to 2024-04-30       31   5,00,000 x 0.085 x (31/365)           Rs.  3,609.59
2024-04-30 to 2024-05-30       30   5,00,000 x 0.085 x (30/365)           Rs.  3,493.15
2024-05-30 to 2024-06-30       31   5,00,000 x 0.085 x (31/365)           Rs.  3,609.59
2024-06-30 to 2024-07-30       30   5,00,000 x 0.085 x (30/365)           Rs.  3,493.15
2024-07-30 to 2024-08-30       31   5,00,000 x 0.085 x (31/365)           Rs.  3,609.59
You will receive 9 monthly credits during the FD period.
Total Interest on maturity                   Rs. 31,904.11
Your total earnings over the 9-month tenure will be Rs. 31,904.11.</t>
  </si>
  <si>
    <t>FD booking period: Between Nov 12, 2024 - Jun 14, 2025
Tenure: 9 months -&gt; 274 days
You are a senior citizen, and your applicable rate is 8.5% p.a.
Type: Monthly payout FD
Rolling year days: 
- Period 1: 366
- Period 2-9: 365 (mostly)
Here's your monthly payout schedule:
Period                          Days  Calculation                          Interest
2023-11-30 to 2023-12-30       30   5,00,000 x 0.085 x (30/366)           Rs.  3,483.61
2023-12-30 to 2024-01-30       31   5,00,000 x 0.085 x (31/366)           Rs.  3,599.73
2024-01-30 to 2024-02-29       30   5,00,000 x 0.085 x (30/366)           Rs.  3,483.61
2024-02-29 to 2024-03-30       30   5,00,000 x 0.085 x (30/365)           Rs.  3,493.15
2024-03-30 to 2024-04-30       31   5,00,000 x 0.085 x (31/365)           Rs.  3,609.59
2024-04-30 to 2024-05-30       30   5,00,000 x 0.085 x (30/365)           Rs.  3,493.15
2024-05-30 to 2024-06-30       31   5,00,000 x 0.085 x (31/365)           Rs.  3,609.59
2024-06-30 to 2024-07-30       30   5,00,000 x 0.085 x (30/365)           Rs.  3,493.15
2024-07-30 to 2024-08-30       31   5,00,000 x 0.085 x (31/365)           Rs.  3,609.59
You will receive 9 monthly credits during the FD period.
ðŸ“Œ Note: This calculation is based on the current interest rate of 8.5% p.a. 
Since your FD booking date (2023-11-30) is in the past, the applicable rate was locked at the time of booking.</t>
  </si>
  <si>
    <t>I booked FD of Rs.2,00,000 on 10th January 2025 for 4 Quarters .How much will I receive on Maturity?</t>
  </si>
  <si>
    <t>FD Type: Cumulative with Quarterly Compounding
Principal: Rs. 2,00,000
Rate: 6.75% p.a. (regular citizen)
Tenure: 4 quarters
FD booking period: Between Nov 12, 2024 - Jun 14, 2025
Formula: A = P x (1 + r/400)^(4 x T)
Calculation:
Step 1: r/400 = 6.75/400 = 0.016875
Step 2: 1 + 0.016875 = 1.016875
Step 3: 4 x T = 4.0
Step 4: (1.016875)^4.0 = 1.0692279
Step 5: A = 2,00,000 x 1.0692279 = Rs. 2,13,845.58
Total Interest = Rs. 2,13,845.58 - Rs. 2,00,000 = Rs. 13,845.58
At maturity, you will receive Rs. 2,13,845.58 (earning Rs. 13,845.58 in interest).</t>
  </si>
  <si>
    <t>FD Type: Cumulative with Quarterly Compounding
Principal: Rs. 2,00,000
Rate: 6.75% p.a. (regular citizen)
Tenure: 4 quarters
âš ï¸ Rate Correction: You didn't mention a specific rate, so we proceed with 6.75% p.a.
Calculation:
Step 1: r/400 = 6.75/400 = 0.016875
Step 2: 1 + 0.016875 = 1.016875
Step 3: 4 x T = 4.0
Step 4: (1.016875)^4.0 = 1.0692279
Step 5: A = 2,00,000 x 1.0692279 = Rs. 2,13,845.58
Total Interest = Rs. 2,13,845.58 - Rs. 2,00,000 = Rs. 13,845.58
At maturity, you will receive Rs. 2,13,845.58 (earning Rs. 13,845.58 in interest).</t>
  </si>
  <si>
    <t xml:space="preserve">I am a senior citizen. I booked a ₹3,00,000 FD with a Quarterly Interest Payout option on March 25, 2024, for a 5-year tenure. However, I closed the FD on November 20, 2024. How much will be the final settlement amount paid to me, considering I have already received two quarterly interest payments? </t>
  </si>
  <si>
    <t>Premature Withdrawal</t>
  </si>
  <si>
    <t>FD Premature Withdrawal Calculation
## Premature Withdrawal Details
- Principal: Rs. 3,00,000
- Booking Date: 25 March 2024
- Withdrawal Date: 20 November 2024
- Holding Days: 240
- Tenure: 5 years (initially booked)
## Interest Rate Details
- Contracted Rate: 7.65% p.a. (senior citizen)
- Effective Rate for Holding Period: 7.5% p.a.
- Penalty Rate: 0.5% p.a.
- Applicable Rate After Penalty: 7.0% p.a.
## Calculation Steps
### Step 1: Determine Applicable Interest Rate After Penalty
Applicable Rate After Penalty = Effective Rate - Penalty Rate  
= 7.5% - 0.5%  
= 7.0%
### Step 2: Calculate Total Interest at Penal Rate
Interest = Principal x Rate x (Holding Days / Rolling Year Days)  
= Rs. 3,00,000 x (7.0/100) x (240 / 365)  
= Rs. 3,00,000 x 0.07 x 0.65753  
= Rs. 3,00,000 x 0.0460271  
= Rs. 13,808.22
### Step 3: Calculate Already Paid Interest
Already paid interest: Rs. 11,569.32 (from previous quarterly payments)
### Step 4: Calculate Net Interest After Adjustment
Net Interest = Total Interest - Already Paid Interest  
= Rs. 13,808.22 - Rs. 11,569.32  
= Rs. 2,238.90
### Step 5: Calculate Settlement Amount
Settlement Amount = Principal + Net Interest  
= Rs. 3,00,000 + Rs. 2,238.90  
= Rs. 3,02,238.90
## Final Settlement Details
- **Interest Earned**: Rs. 2,238.90
- **Settlement Amount**: Rs. 3,02,238.90
- **Already Paid Interest**: Rs. 11,569.32
You will receive a final settlement amount of **Rs. 3,02,238.90**, which includes the principal amount and the net interest earned after adjusting for the premature withdrawal penalty and the interest already paid out.</t>
  </si>
  <si>
    <t>## Premature Withdrawal Calculation for Senior Citizen FD
### FD Details
- **Principal (P):** Rs. 3,00,000
- **Booking Date:** March 25, 2024
- **Maturity Tenure:** 5 years (Originally 1825 days)
- **Contracted Rate:** 7.65% p.a. (Senior Citizen)
- **Payout Type:** Quarterly Interest Payout
- **Citizenship:** Senior
### Premature Withdrawal Details
- **Withdrawal Date:** November 20, 2024
- **Holding Days:** 240 days
- **Effective Rate for Holding Period:** 7.5%
- **Penalty Rate:** 0.5%
- **Applicable Rate After Penalty:** 7.0%
- **Rolling Year Days:** 365
### Calculation Steps
#### Step 1: Determine Applicable Interest Rate After Penalty
Applicable Rate After Penalty = Effective Rate - Penalty Rate  
= 7.5% - 0.5%  
= 7.0%
#### Step 2: Calculate Total Interest at Penal Rate
Interest = P x (Applicable Rate After Penalty / 100) x (Holding Days / Rolling Year Days)  
= Rs. 3,00,000 x (7.0 / 100) x (240 / 365)  
= Rs. 3,00,000 x 0.07 x 0.65753  
= Rs. 3,00,000 x 0.0460271  
= Rs. 13,808.22
#### Step 3: Calculate Already Paid Interest
Already paid interest (for completed quarters): Rs. 11,569.32
#### Step 4: Calculate Net Interest After Adjustment
Net Interest = Total Interest - Already Paid Interest  
= Rs. 13,808.22 - Rs. 11,569.32  
= Rs. 2,238.90
#### Step 5: Calculate Settlement Amount
Settlement Amount = Principal + Net Interest  
= Rs. 3,00,000 + Rs. 2,238.90  
= Rs. 3,02,238.90
### Final Settlement Details
- **Interest Earned:** Rs. 2,238.90
- **Settlement Amount:** Rs. 3,02,238.90
- **Already Paid Interest:** Rs. 11,569.32
You will receive a final settlement amount of **Rs. 3,02,238.90**, which includes the principal amount and the net interest earned after adjustments for premature withdrawal.</t>
  </si>
  <si>
    <t>## Premature Withdrawal Calculation for Senior Citizen FD
### FD Details
- **Principal (P):** Rs. 3,00,000
- **Booking Date:** March 25, 2024
- **Maturity Tenure:** 5 years (Originally 1826 days)
- **Contracted Rate:** 7.65% p.a. (Senior Citizen)
- **Payout Type:** Quarterly Interest Payout
### Premature Withdrawal Details
- **Withdrawal Date:** November 20, 2024
- **Holding Days:** 240 days
- **Effective Rate for Holding Period:** 7.5%
- **Penalty Rate:** 0.5%
- **Applicable Rate After Penalty:** 7.0%
- **Rolling Year Days:** 365
### Calculation of Final Settlement Amount
#### Step 1: Determine Applicable Interest Rate After Penalty
Applicable Rate After Penalty = 7.5% - 0.5% = 7.0%
#### Step 2: Calculate Total Interest at Penal Rate
Interest = P x (r/100) x (holding_days / rolling_year_days)  
Interest = Rs. 3,00,000 x (7.0/100) x (240 / 365)  
Interest = Rs. 3,00,000 x 0.07 x 0.65753  
Interest = Rs. 3,00,000 x 0.0460271  
Interest = Rs. 13,808.22
#### Step 3: Calculate Already Paid Interest
Already paid interest (for completed quarters): Rs. 11,569.32
#### Step 4: Calculate Net Interest After Adjustment
Net Interest = Total Interest - Already Paid Interest  
Net Interest = Rs. 13,808.22 - Rs. 11,569.32  
Net Interest = Rs. 2,238.90
#### Step 5: Calculate Settlement Amount
Settlement Amount = Principal + Net Interest  
Settlement Amount = Rs. 3,00,000 + Rs. 2,238.90  
Settlement Amount = Rs. 3,02,238.90
### Final Results
- **Interest Earned:** Rs. 2,238.90
- **Settlement Amount:** Rs. 3,02,238.90
- **Already Paid Interest:** Rs. 11,569.32
You will receive a final settlement amount of **Rs. 3,02,238.90**, which includes the principal amount and the net interest earned after adjustments for premature withdrawal.</t>
  </si>
  <si>
    <t>FD booked of amt 120,000 on 1jan 2023 for 2 years quarterly interest paying fd closed on 1 jan 2025. howmuch will be settlement?</t>
  </si>
  <si>
    <t>FD booking period: Between Jan 01, 2000 - Feb 11, 2024
Tenure: 2 years (731 days)
Principal (P): Rs. 1,20,000
Rate: 7.75% p.a. (regular citizen)
Type: Quarterly payout FD
GROSS TOTAL INTEREST: Rs. 18,600
Since the FD was closed on 1 Jan 2025, you will receive the principal amount along with the total interest.
Settlement Amount = Principal + Gross Total Interest
= Rs. 1,20,000 + Rs. 18,600
= Rs. 1,38,600
You will receive a total of Rs. 1,38,600 on maturity.</t>
  </si>
  <si>
    <t>FD booking period: Between Jan 01, 2000 - Feb 11, 2024
Tenure: 2 years
Rate: 7.75% p.a. (regular citizen)
Type: Quarterly payout FD
Principal (P): Rs. 1,20,000
Start date: 1 Jan 2023
Maturity: 31 Dec 2024
However, you mentioned the FD was closed on 1 Jan 2025.
Interest calculation: Exact day count per quarter
Rolling year = exact 365/366-day rolling year from each quarter start
Since the FD was closed prematurely, we will calculate the interest until 1 Jan 2025.
Period                          Days  Calculation                          Interest
1 Jan 2023 -&gt; 31 Mar 2023       90   1,20,000 x 0.0775 x (90/365)       Rs. 2,369.86
1 Apr 2023 -&gt; 30 Jun 2023       91   1,20,000 x 0.0775 x (91/365)       Rs. 2,401.23
1 Jul 2023 -&gt; 30 Sep 2023       92   1,20,000 x 0.0775 x (92/365)       Rs. 2,432.88
1 Oct 2023 -&gt; 31 Dec 2023       91   1,20,000 x 0.0775 x (91/365)       Rs. 2,401.23
1 Jan 2024 -&gt; 31 Mar 2024       91   1,20,000 x 0.0775 x (91/365)       Rs. 2,401.23
1 Apr 2024 -&gt; 30 Jun 2024       90   1,20,000 x 0.0775 x (90/365)       Rs. 2,369.86
1 Jul 2024 -&gt; 30 Sep 2024       92   1,20,000 x 0.0775 x (92/365)       Rs. 2,432.88
1 Oct 2024 -&gt; 31 Dec 2024       91   1,20,000 x 0.0775 x (91/365)       Rs. 2,401.23
1 Jan 2025 -&gt; 1 Jan 2025        1    1,20,000 x 0.0775 x (1/365)        Rs. 25.48
Final Accurate Payout Summary
-----------------------------------------------------
Component                                    Amount
-----------------------------------------------------
Total quarterly payouts credited             Rs. 18,734.80
Final partial payout at closure (1 day)     Rs.   25.48
-----------------------------------------------------
Total Interest on closure                    Rs. 18,760.28
-----------------------------------------------------
You will receive a total of Rs. 1,38,760.28 (Principal + Interest) upon premature closure on 1 Jan 2025.
Total Interest = Rs. 18,760.28 
 Settlement amount will be  Rs. 1,38,760.28</t>
  </si>
  <si>
    <t>FD booking period: Between Jan 01, 2000 - Feb 11, 2024
Tenure: 2 years (731 days)
Principal (P): Rs. 1,20,000
Rate: 7.75% p.a. (regular citizen)
Type: Quarterly payout FD
Interest calculation: Exact day count per quarter
Period Schedule:
Period 1: 2023-01-01 to 2023-04-01 (90 days, rolling_year=365) 
Interest = 1,20,000 x 0.0775 x (90 / 365) 
Interest = Rs. 2,293.15
Period 2: 2023-04-01 to 2023-07-01 (91 days, rolling_year=365) 
Interest = 1,20,000 x 0.0775 x (91 / 365) 
Interest = Rs. 2,318.63
Period 3: 2023-07-01 to 2023-10-01 (92 days, rolling_year=365) 
Interest = 1,20,000 x 0.0775 x (92 / 365) 
Interest = Rs. 2,344.11
Period 4: 2023-10-01 to 2024-01-01 (92 days, rolling_year=365) 
Interest = 1,20,000 x 0.0775 x (92 / 365) 
Interest = Rs. 2,344.11
Period 5: 2024-01-01 to 2024-04-01 (91 days, rolling_year=365) 
Interest = 1,20,000 x 0.0775 x (91 / 365) 
Interest = Rs. 2,318.63
Period 6: 2024-04-01 to 2024-07-01 (91 days, rolling_year=365) 
Interest = 1,20,000 x 0.0775 x (91 / 365) 
Interest = Rs. 2,318.63
Period 7: 2024-07-01 to 2024-10-01 (92 days, rolling_year=365) 
Interest = 1,20,000 x 0.0775 x (92 / 365) 
Interest = Rs. 2,344.11
Period 8: 2024-10-01 to 2025-01-01 (92 days, rolling_year=365) 
Interest = 1,20,000 x 0.0775 x (92 / 365) 
Interest = Rs. 2,344.11
Final Accurate Payout Summary:
Component Amount
Total quarterly payouts credited Rs. 18,625.48
Principal repayment at maturity Rs. 1,20,000
Total Amount at maturity = Principal + Total Interest 
= 1,20,000 + 18,625.48 
= Rs. 1,38,625.48
You will receive Rs. 1,38,625.48 at maturity, which includes the principal amount of Rs. 1,20,000 and total interest of Rs. 18,625.48.</t>
  </si>
  <si>
    <t>FD Details:
- Principal: Rs. 1,20,000
- Rate: 7.75% p.a.
- Tenure: 2 years (731 days)
- Booking Date: 2023-01-01
- Maturity Date: 2025-01-01
- Type: quarterly_payout
- Citizenship: regular citizen
âš ï¸ Rate Correction: You mentioned no rate but the applicable rate for your FD (2 years, regular citizen, booked 2023-01-01) is 7.75% p.a. as per the rate card.
## Settlement Amount Calculation
The FD was booked on 1 Jan 2023 and matured on 1 Jan 2025. 
### Gross Total Interest
Gross Total Interest: Rs. 18,600
### Settlement Amount
Since the FD is a quarterly payout FD, the principal amount is returned at maturity.
Settlement Amount = Principal + Gross Total Interest
= Rs. 1,20,000 + Rs. 18,600
= Rs. 1,38,600
You will receive a total of Rs. 1,38,600 at maturity, including the principal amount and the accrued interest.</t>
  </si>
  <si>
    <t>Premature Withdrawal Calculation for FD Booked on 1 Jan 2023
FD Details:
- Principal: Rs. 1,20,000
- Booking Date: 1 Jan 2023
- Maturity Date: Not Applicable (Premature Closure)
- Tenure: 2 years (but closed prematurely on 1 Jan 2025)
- Contracted Rate: 7.75%
- Payout Type: Quarterly Payout
- Citizenship: Regular
Premature Withdrawal Details:
- Withdrawal Date: 1 Jan 2025
- Holding Days: 731 days
- Effective Rate for Holding Period: 7.75%
- Penalty Rate: 0.5%
- Applicable Rate After Penalty: 7.25%
- Rolling Year Days: 365
### Premature Withdrawal Calculation
#### Step 1: Determine Applicable Interest Rate After Penalty
Applicable Rate After Penalty = 7.75% - 0.5% = 7.25%
#### Step 2: Calculate Total Interest at Penal Rate
Interest = Principal x Rate x (Holding Days / Rolling Year Days)
Interest = Rs. 1,20,000 x (7.25 / 100) x (731 / 365)
Interest = Rs. 1,20,000 x 0.0725 x 2.00274
Interest = Rs. 1,20,000 x 0.0725 x 2.00274
Interest = Rs. 17,423.84
#### Step 3: Calculate Already Paid Interest
Already Paid Interest = Rs. 18,600.00
#### Step 4: Calculate Net Interest After Adjustment
Net Interest = Total Interest - Already Paid Interest
Net Interest = Rs. 17,423.84 - Rs. 18,600.00
Net Interest = Rs. -1,176.16
#### Step 5: Calculate Settlement Amount
Settlement Amount = Principal + Net Interest
Settlement Amount = Rs. 1,20,000 + Rs. -1,176.16
Settlement Amount = Rs. 1,18,823.84
### Settlement Summary
- **Interest Earned**: Rs. -1,176.16 (Negative indicates excess interest paid)
- **Settlement Amount**: Rs. 1,18,823.84
- **Already Paid Interest**: Rs. 18,600.00
On premature closure of your FD on 1 Jan 2025, you will receive a settlement amount of **Rs. 1,18,823.84**. This includes a deduction of Rs. 1,176.16 from the interest already paid, reflecting the penalty for premature withdrawal.</t>
  </si>
  <si>
    <t>FD booked of amt 224,000 on 1jan 2023 for 2 years half yearly interest paying fd. howmuch half yearly interest i'll get for each half year?</t>
  </si>
  <si>
    <t>Half-Yearly Payout</t>
  </si>
  <si>
    <t>FD booking period: Between Jan 01, 2023 - Feb 11, 2024
Tenure: 2 years -&gt; 7.75% p.a. (regular citizen)
Type: Half-yearly payout FD
Principal (P): Rs. 2,24,000
Here are the half-yearly interest payouts:
Period                          Days  Rolling Year  Calculation                          Interest
2023-01-01 to 2023-07-01       181          365   2,24,000 x 0.0775 x (181/365)       Rs.  8,608.66
2023-07-01 to 2024-01-01       184          366   2,24,000 x 0.0775 x (184/366)       Rs.  8,727.43
2024-01-01 to 2024-07-01       182          366   2,24,000 x 0.0775 x (182/366)       Rs.  8,632.57
2024-07-01 to 2025-01-01       184          365   2,24,000 x 0.0775 x (184/365)       Rs.  8,751.34
Final Accurate Payout Summary
-----------------------------------------------------
Component                                    Amount
-----------------------------------------------------
Total half-yearly payouts credited             Rs. 34,720
-----------------------------------------------------
Your total earnings over the 2-year tenure will be Rs. 34,720.</t>
  </si>
  <si>
    <t>FD booking period: Between Jan 01, 2023 - Feb 11, 2024
Principal (P): Rs. 2,24,000
Tenure: 2 years
Rate: 7.75% p.a. (regular citizen)
Type: Half-yearly payout FD
Half-yearly interest calculation:
Period 1: 2023-01-01 to 2023-07-01 (181 days, rolling_year=365)
Interest = 2,24,000 x 0.0775 x (181 / 365)
Interest = Rs. 8,608.66
Period 2: 2023-07-01 to 2024-01-01 (184 days, rolling_year=366)
Interest = 2,24,000 x 0.0775 x (184 / 366)
Interest = Rs. 8,727.43
Period 3: 2024-01-01 to 2024-07-01 (182 days, rolling_year=366)
Interest = 2,24,000 x 0.0775 x (182 / 366)
Interest = Rs. 8,632.57
Period 4: 2024-07-01 to 2024-12-31 (183 days, rolling_year=365)
Interest = 2,24,000 x 0.0775 x (183 / 365)
Interest = Rs. 8,703.78
Half-yearly Interest Payouts:
Period 1: 2023-01-01 to 2023-07-01 -&gt; Rs. 8,608.66
Period 2: 2023-07-01 to 2024-01-01 -&gt; Rs. 8,727.43
Period 3: 2024-01-01 to 2024-07-01 -&gt; Rs. 8,632.57
Period 4: 2024-07-01 to 2024-12-31 -&gt; Rs. 8,703.78
Your total earnings over the 2-year tenure will be Rs. 34,672.44.</t>
  </si>
  <si>
    <t>FD booking period: "Between Jan 01, 2023 - Jan 01, 2025"
Tenure: 2 years
Principal (P): Rs. 2,24,000
Rate: 7.75% p.a. (regular citizen)
Type: Half-yearly payout FD
Half-yearly interest calculation:
Period 1: 2023-01-01 to 2023-07-01 (181 days, rolling_year=365)
Interest = 2,24,000 x 0.0775 x (181 / 365)
Interest = Rs. 8,608.66
Period 2: 2023-07-01 to 2024-01-01 (184 days, rolling_year=365)
Interest = 2,24,000 x 0.0775 x (184 / 365)
Interest = Rs. 8,751.34
Period 3: 2024-01-01 to 2024-07-01 (182 days, rolling_year=365)
Interest = 2,24,000 x 0.0775 x (182 / 365)
Interest = Rs. 8,656.22
Period 4: 2024-07-01 to 2025-01-01 (184 days, rolling_year=365)
Interest = 2,24,000 x 0.0775 x (184 / 365)
Interest = Rs. 8,751.34
Half-yearly Interest Payouts:
-------------------------------
Period  | Days  | Calculation                          | Interest
---------|-------|---------------------------------------|-----------
2023-01-01 to 2023-07-01 | 181   | 2,24,000 x 0.0775 x (181/365)       | Rs. 8,608.66
2023-07-01 to 2024-01-01 | 184   | 2,24,000 x 0.0775 x (184/365)       | Rs. 8,751.34
2024-01-01 to 2024-07-01 | 182   | 2,24,000 x 0.0775 x (182/365)       | Rs. 8,656.22
2024-07-01 to 2025-01-01 | 184   | 2,24,000 x 0.0775 x (184/365)       | Rs. 8,751.34
Total Interest on maturity: Rs. 34,767.56
You will receive 4 half-yearly interest payouts during the FD period.
Your total earnings over the 2-year tenure will be Rs. 34,767.56.</t>
  </si>
  <si>
    <t>FD booking period: Between Jan 1, 2023 - Jan 1, 2025
Tenure: 2 years
Principal (P): Rs. 2,24,000
Rate: 7.75% p.a. (regular citizen)
Type: Half-yearly payout FD
Half-yearly interest calculation:
Period 1: 2023-01-01 to 2023-07-01 (181 days, rolling_year=365)
Interest = 2,24,000 x 0.0775 x (181 / 365)
Interest = Rs. 8,608.66
Period 2: 2023-07-01 to 2024-01-01 (184 days, rolling_year=366)
Interest = 2,24,000 x 0.0775 x (184 / 366)
Interest = Rs. 8,727.43
Period 3: 2024-01-01 to 2024-07-01 (182 days, rolling_year=366)
Interest = 2,24,000 x 0.0775 x (182 / 366)
Interest = Rs. 8,632.57
Period 4: 2024-07-01 to 2025-01-01 (184 days, rolling_year=365)
Interest = 2,24,000 x 0.0775 x (184 / 365)
Interest = Rs. 8,751.34
Half-yearly Payout Summary:
Period  | Days  | Calculation                          | Interest
---------|-------|--------------------------------------|-----------
2023-01-01 to 2023-07-01 | 181   | 2,24,000 x 0.0775 x (181/365)       | Rs. 8,608.66
2023-07-01 to 2024-01-01 | 184   | 2,24,000 x 0.0775 x (184/366)       | Rs. 8,727.43
2024-01-01 to 2024-07-01 | 182   | 2,24,000 x 0.0775 x (182/366)       | Rs. 8,632.57
2024-07-01 to 2025-01-01 | 184   | 2,24,000 x 0.0775 x (184/365)       | Rs. 8,751.34
Total Interest on maturity: Rs. 34,720
You will receive 4 half-yearly credits during the FD period, with the following amounts:
- Period 1 (Jan to Jul 2023): Rs. 8,608.66
- Period 2 (Jul 2023 to Jan 2024): Rs. 8,727.43
- Period 3 (Jan to Jul 2024): Rs. 8,632.57
- Period 4 (Jul 2024 to Jan 2025): Rs. 8,751.34
Your total earnings over the 2-year tenure will be Rs. 34,720.</t>
  </si>
  <si>
    <t>booked an fd of 1,24,565 on 23 dec 2025 for 1 year, breaking today. howmuch will be proceedings.</t>
  </si>
  <si>
    <t>FD Booking Details:
- Principal: Rs. 1,24,565
- Booking Date: 23 Dec 2025
- Contracted Tenure: 1.0 years (365 days)
- Contracted Rate: 6.25%
- Payout Type: Cumulative
- Citizenship: Regular
Premature Withdrawal Details:
- Withdrawal Date: 11 Mar 2026
- Holding Days: 78 days
- Effective Rate for Holding Period: 4.9%
- Penalty Rate: 0.5%
- Applicable Rate After Penalty: 4.4%
- Rolling Year Days: 365
Step-by-Step Premature Withdrawal Calculation:
Step 1: Determine Applicable Interest Rate After Penalty
Applicable Rate After Penalty = Effective Rate for Holding Period - Penalty Rate
= 4.9% - 0.5%
= 4.4%
Step 2: Calculate Tenure in Years
Tenure in Years = Holding Days / Rolling Year Days
= 78 / 365
= 0.2137 years
Step 3: Calculate Maturity Amount
Maturity Amount = Principal x (1 + Applicable Rate After Penalty/400)^(4 x Tenure in Years)
= Rs. 1,24,565 x (1 + 4.4/400)^(4 x 0.2137)
= Rs. 1,24,565 x (1 + 0.011)^0.8548
= Rs. 1,24,565 x 1.009395
= Rs. 1,25,735.32
Step 4: Calculate Interest Earned
Interest Earned = Maturity Amount - Principal
= Rs. 1,25,735.32 - Rs. 1,24,565
= Rs. 1,170.32
Proceeds at Premature Withdrawal:
- Interest Earned: Rs. 1,170.32
- Settlement Amount: Rs. 1,25,735.32
- Already Paid Interest: Rs. 0
You will receive Rs. 1,25,735.32 on premature withdrawal of your FD, having earned Rs. 1,170.32 in interest.</t>
  </si>
  <si>
    <t>FD Booking Details:
- Principal: Rs. 1,24,565
- Booking Date: 23 Dec 2025
- Contracted Tenure: 1.0 years
- Contracted Rate: 6.25% p.a.
- Payout Type: Cumulative
- Citizenship: Regular
Premature Withdrawal Details:
- Withdrawal Date: 22 Mar 2026
- Holding Days: 89
- Effective Rate for Holding Period: 4.9%
- Penalty Rate: 0.5%
- Applicable Rate After Penalty: 4.4%
- Rolling Year Days: 365
**Premature Withdrawal Calculation**
**Step 1: Determine Applicable Interest Rate After Penalty**
Applicable Rate After Penalty = Effective Rate for Holding Period - Penalty Rate
= 4.9% - 0.5%
= 4.4%
**Step 2: Calculate Tenure in Years**
Tenure in Years = Holding Days / Rolling Year Days
= 89 days / 365 days
= 0.2438 years
**Step 3: Calculate Maturity Amount**
Formula: A = P x (1 + r/400)^(4 x T)
Where: P = Rs. 1,24,565, r = 4.4% (after penalty), T = 0.2438 years
Calculation:
A = 1,24,565 x (1 + 4.4/400)^(4 x 0.2438)
= 1,24,565 x (1 + 0.011)^(0.9752)
= 1,24,565 x (1.011)^(0.9752)
= 1,24,565 x 1.010727
= Rs. 1,25,901.25
**Step 4: Calculate Interest Earned**
Interest Earned = Maturity Amount - Principal
= Rs. 1,25,901.25 - Rs. 1,24,565
= Rs. 1,336.25
**Final Results:**
- Interest Earned: Rs. 1,336.25
- Settlement Amount: Rs. 1,25,901.25
- Already Paid Interest: Rs. 0
You will receive Rs. 1,25,901.25 on premature withdrawal of your FD.</t>
  </si>
  <si>
    <t>Query: "booked an fd of 1,24,565 on 23 dec 2025 for 1 year, breaking today. how much will be proceedings."
FD Booking Details:
- Principal: Rs. 1,24,565
- Booking Date: 23 Dec 2025
- Contracted Tenure: 1.0 years
- Contracted Rate: 6.25% p.a.
- Payout Type: Cumulative
- Citizenship: Regular
Premature Withdrawal Details:
- Withdrawal Date: 22 Mar 2026
- Holding Days: 89
- Effective Rate for Holding Period: 6.25%
- Penalty Rate: 0.5%
- Applicable Rate After Penalty: 5.75%
- Rolling Year Days: 365
Calculation of Premature Withdrawal:
Step 1: Determine Applicable Rate After Penalty
Applicable Rate After Penalty = 6.25% - 0.5% = 5.75%
Step 2: Calculate Tenure in Years
Tenure in Years = 89 days / 365 days = 0.2438 years
Step 3: Calculate Maturity Amount
Formula: A = P x (1 + r/400)^(4 x T)
Where: P = Rs. 1,24,565, r = 5.75%, T = 0.2438 years
Calculation:
A = 1,24,565 x (1 + 5.75/400)^(4 x 0.2438)
= 1,24,565 x (1 + 0.014375)^(0.9752)
= 1,24,565 x (1.014375)^0.9752
= 1,24,565 x 1.014018
= Rs. 1,26,311.16
Step 4: Calculate Interest Earned
Interest Earned = Rs. 1,26,311.16 - Rs. 1,24,565.00 = Rs. 1,746.16
Proceeds at Premature Withdrawal:
- Interest Earned: Rs. 1,746.16
- Settlement Amount: Rs. 1,26,311.16
- Already Paid Interest: Rs. 0
You will receive Rs. 1,26,311.16, having earned Rs. 1,746.16 in interest.</t>
  </si>
  <si>
    <t>FD Booking Details:
- Principal: Rs. 1,24,565
- Booking Date: 23 Dec 2025
- Contracted Tenure: 1.0 years (365 days)
- Contracted Rate: 6.25%
- Payout Type: Cumulative
- Citizenship: Regular
Premature Withdrawal Details:
- Withdrawal Date: 22 Mar 2026
- Holding Days: 89
- Effective Rate for Holding Period: 4.9%
- Penalty Rate: 0.5%
- Applicable Rate After Penalty: 4.4%
- Rolling Year Days: 365
Step-by-Step Premature Withdrawal Calculation:
Step 1: Determine Applicable Interest Rate After Penalty
Applicable Rate After Penalty = 4.9% - 0.5% = 4.4%
Step 2: Calculate Tenure in Years
Tenure in Years = 89 days / 365 days = 0.2438 years
Step 3: Calculate Maturity Amount
Maturity Amount = Principal x (1 + Applicable Rate After Penalty/400)^(4 x Tenure in Years)
= Rs. 1,24,565 x (1 + 4.4/400)^(4 x 0.2438)
= Rs. 1,24,565 x (1 + 0.011)^0.9752
= Rs. 1,24,565 x (1.011)^0.9752
= Rs. 1,24,565 x 1.010727
= Rs. 1,25,901.25
Step 4: Calculate Interest Earned
Interest Earned = Maturity Amount - Principal
= Rs. 1,25,901.25 - Rs. 1,24,565
= Rs. 1,336.25
Proceeds at Premature Withdrawal:
- Interest Earned: Rs. 1,336.25
- Settlement Amount: Rs. 1,25,901.25
- Already Paid Interest: Rs. 0
You will receive Rs. 1,25,901.25 on premature withdrawal, earning Rs. 1,336.25 in interest.</t>
  </si>
  <si>
    <t>what is the tenure for which senior citizens get the best interest rate?</t>
  </si>
  <si>
    <t>Rate Query</t>
  </si>
  <si>
    <t>| Customer Type | NRI Status | Deposit Amount | Best Tenure | Rate |
|---------------|------------|----------------|-------------|------|
| Senior        | NRI        | &lt;3CR           | 444-444 days | 7.3  |
| Senior        | NRI        | &gt;=3CR          | 444-444 days | 7.15 |
| Senior        | Non NRI    | &lt;3CR           | 444-444 days | 7.1  |
| Senior        | Non NRI    | &gt;=3CR          | 444-444 days | 6.85 |
Senior citizens get the best interest rate of 7.3% for NRI customers with deposits less than 3CR for a tenure of 444-444 days.</t>
  </si>
  <si>
    <t>I broke my ₹3,50,000 FD on 5 July 2024, which I had booked a quarterly interest paying FD on 30 Nov 2023 for 2 years. The maturity amount seems less than what I expected. Can you explain why?</t>
  </si>
  <si>
    <t>FD Booking Details:
- Principal: Rs. 3,50,000
- Booking Date: 30 Nov 2023
- Contracted Tenure: 2 years
- Contracted Rate: 7.75% p.a.
- Payout Type: Quarterly payout FD
- Citizenship: Regular citizen
Premature Withdrawal Details:
- Withdrawal Date: 5 July 2024
- Holding Days: 218 days
- Effective Rate for Holding Period: 8.0% p.a.
- Penalty Rate: 0.5% p.a.
- Applicable Rate After Penalty: 7.25% p.a.
- Rolling Year Days: 366 days
Calculation of Premature Withdrawal Amount:
Step 1: Determine applicable interest rate after penalty
Applicable Rate After Penalty = Effective Rate for Holding Period - Penalty Rate
= min(8.0% - 0.5%,7.75%-0.5%)
= 7.25%
Step 2: Calculate total interest at penal rate
Interest = Principal x Rate x (holding_days / rolling_year_days)
= Rs. 3,50,000 x 7.25/100 x (218 / 366)
= Rs. 3,50,000 x 0.0725 x 0.5959
= Rs. 3,50,000 x 0.0432
= Rs. 15,114.07
Step 3: Calculate already paid interest (completed periods only)
Already paid interest = Rs. 13,506.87 (provided)
Step 4: Calculate net interest after adjustment
Net Interest = Total Interest at Penal Rate - Already Paid Interest
= Rs. 15,114.07 - Rs. 13,506.87
= Rs. 1,607.20
Step 5: Calculate settlement amount
Settlement Amount = Principal + Net Interest
= Rs. 3,50,000 + Rs. 1,607.20
= Rs. 3,51,607.20
The maturity amount seems less than expected because of the penalty applied to the effective rate for the holding period. The applicable rate after penalty (7.25%) was used to calculate the interest earned during the 218-day holding period. After adjusting for the interest already paid (Rs. 13,506.87), the net interest earned is Rs. 1,607.20, resulting in a settlement amount of Rs. 3,51,607.20.</t>
  </si>
  <si>
    <t>Premature Withdrawal Calculation for FD
## FD Details
- Principal: Rs. 3,50,000
- Booking Date: 30 Nov 2023
- Withdrawal Date: 5 July 2024
- Contracted Tenure: 2 years
- Contracted Rate: 7.75% p.a.
- Payout Type: Quarterly Payout FD
- Citizenship: Regular
## Premature Withdrawal Calculation
### Step 1: Determine Applicable Interest Rate After Penalty
The effective rate for the holding period is 8.0%, and a penalty rate of 0.5% is applied.
Applicable rate after penalty = min(8.0% - 0.5%,7.75%-0.5%) = 7.25%
### Step 2: Calculate Total Interest at Penal Rate
Interest = Principal x Rate x (Holding Days / Rolling Year Days)
Interest = Rs. 3,50,000 x (7.25/100) x (218 / 366)
Interest = Rs. 3,50,000 x 0.0725 x 0.595901639344
Interest = Rs. 3,50,000 x 0.04321
Interest = Rs. 15,114.07
### Step 3: Calculate Already Paid Interest (Completed Periods Only)
Already paid interest: Rs. 13,506.87
### Step 4: Calculate Net Interest After Adjustment
Net interest = Total interest at penal rate - Already paid interest
Net interest = Rs. 15,114.07 - Rs. 13,506.87
Net interest = Rs. 1,607.20
### Step 5: Calculate Settlement Amount
Settlement amount = Principal + Net interest
Settlement amount = Rs. 3,50,000 + Rs. 1,607.20
Settlement amount = Rs. 3,51,607.20
## Final Results
- Interest Earned: Rs. 1,607.21
- Settlement Amount: Rs. 3,51,607.21
- Already Paid Interest: Rs. 13,506.87
The maturity amount seems less than expected because the premature withdrawal incurred a penalty, reducing the effective interest rate to 7.25% for the holding period. This resulted in a lower interest earned compared to the original contracted rate of 7.75% p.a. for the entire tenure.</t>
  </si>
  <si>
    <t>FD Booking Details:
- Principal: Rs. 3,50,000
- Booking Date: 30 Nov 2023
- Contracted Tenure: 2 years
- Contracted Rate: 7.75% p.a.
- Payout Type: Quarterly payout FD
- Citizenship: Regular citizen
Premature Withdrawal Details:
- Withdrawal Date: 5 July 2024
- Holding Days: 218 days
- Effective Rate for Holding Period: 8.0% p.a.
- Penalty Rate: 0.5% p.a.
- Applicable Rate After Penalty: 7.25% p.a.
- Rolling Year Days: 365 days
Calculation of Premature Withdrawal Amount:
Step 1: Determine applicable interest rate after penalty
Applicable Rate = Effective Rate - Penalty Rate
= 8.0% - 0.5%
= 7.25%
Step 2: Calculate total interest at penal rate
Interest = Principal x Rate x (Holding Days / Rolling Year Days)
= Rs. 3,50,000 x 7.25/100 x (218 / 365)
= Rs. 3,50,000 x 0.0725 x 0.59726
= Rs. 3,50,000 x 0.043294
= Rs. 15,155.48
Step 3: Calculate already paid interest (completed periods only)
Already paid interest = Rs. 13,525.34 (provided)
Step 4: Calculate net interest after adjustment
Net Interest = Total Interest - Already Paid Interest
= Rs. 15,155.48 - Rs. 13,525.34
= Rs. 1,630.14
Step 5: Calculate settlement amount
Settlement Amount = Principal + Net Interest
= Rs. 3,50,000 + Rs. 1,630.14
= Rs. 3,51,630.14
Premature Withdrawal Results:
- Interest Earned: Rs. 1,630.14
- Settlement Amount: Rs. 3,51,630.14
- Already Paid Interest: Rs. 13,525.34
The maturity amount seems less than expected because the premature withdrawal attracted a penalty, reducing the effective interest rate to 7.25% for the holding period. This resulted in a lower interest earned of Rs. 1,630.14, leading to a final settlement amount of Rs. 3,51,630.14.</t>
  </si>
  <si>
    <t>Premature Withdrawal Calculation for FD
## FD Details
- Principal: Rs. 3,50,000
- Booking Date: 30 Nov 2023
- Withdrawal Date: 5 July 2024
- Contracted Tenure: 2 years
- Payout Type: Quarterly Payout FD
## Premature Withdrawal Calculation
### Step 1: Determine Applicable Interest Rate After Penalty
The effective rate for the holding period is 7.75%, and the penalty rate is 0.5%. 
Applicable rate after penalty = 7.75% - 0.5% = 7.0%
### Step 2: Calculate Total Interest at Penal Rate
Interest = Principal x Rate x (Holding Days / Rolling Year Days)
Interest = Rs. 3,50,000 x (7.0/100) x (218 / 366)
Interest = Rs. 3,50,000 x 0.07 x 0.5959
Interest = Rs. 3,50,000 x 0.041713
Interest = Rs. 14,592.90
### Step 3: Calculate Already Paid Interest
Already paid interest (completed periods only): Rs. 13,071.16
### Step 4: Calculate Net Interest After Adjustment
Net interest after adjustment = Total interest at penal rate - Already paid interest
Net interest after adjustment = Rs. 14,592.90 - Rs. 13,071.16
Net interest after adjustment = Rs. 1,521.74
### Step 5: Calculate Settlement Amount
Settlement amount = Principal + Net interest after adjustment
Settlement amount = Rs. 3,50,000 + Rs. 1,521.74
Settlement amount = Rs. 3,51,521.74
## Final Results
- Interest Earned: Rs. 1,521.74
- Settlement Amount: Rs. 3,51,521.74
- Already Paid Interest: Rs. 13,071.16
The premature withdrawal of your FD resulted in a settlement amount of Rs. 3,51,521.74, with an interest earned of Rs. 1,521.74. The difference in your expected maturity amount could be due to the penalty applied for premature withdrawal.</t>
  </si>
  <si>
    <t>Premature Withdrawal Calculation for FD
## FD Details
- Principal: Rs. 3,50,000
- Booking Date: 30 Nov 2023
- Withdrawal Date: 5 July 2024
- Tenure: 2 years (originally booked)
## Premature Withdrawal Calculation
### Step 1: Determine Applicable Interest Rate After Penalty
The effective rate for the holding period is 8.0%, and a penalty rate of 0.5% is applied.
Applicable rate after penalty = min(8.0% - 0.5%,7.75%-0.5%) = 7.25%
### Step 2: Calculate Total Interest at Penal Rate
Interest = Principal x Rate x (Holding Days / Rolling Year Days)
Interest = Rs. 3,50,000 x (7.25/100) x (218/366)
Interest = Rs. 3,50,000 x 0.0725 x 0.5959
Interest = Rs. 3,50,000 x 0.0432
Interest = Rs. 15,114.07
### Step 3: Calculate Already Paid Interest
Already paid interest (completed periods) = Rs. 13,506.87
### Step 4: Calculate Net Interest After Adjustment
Net interest = Total interest at penal rate - Already paid interest
Net interest = Rs. 15,114.07 - Rs. 13,506.87
Net interest = Rs. 1,607.20
### Step 5: Calculate Settlement Amount
Settlement amount = Principal + Net interest
Settlement amount = Rs. 3,50,000 + Rs. 1,607.20
Settlement amount = Rs. 3,51,607.20
## Final Results
- Interest Earned: Rs. 1,607.21
- Settlement Amount: Rs. 3,51,607.21
- Already Paid Interest: Rs. 13,506.87
The premature withdrawal resulted in a lower maturity amount due to the penalty applied to the interest rate. The net interest earned after adjusting for the already paid interest is Rs. 1,607.21, leading to a settlement amount of Rs. 3,51,607.21.</t>
  </si>
  <si>
    <t>CIFQA answer</t>
  </si>
  <si>
    <t>CIFQA answer_accuracy</t>
  </si>
  <si>
    <t>FD booking period: Between Feb 12, 2024 - Nov 11, 2024
Tenure: 3 years
Senior citizen rate: 8.0% p.a.
Type: Quarterly payout FD
You requested interest for the 6th and 8th quarters.
## Interest for 6th Quarter
Period 6: 2025-05-12 to 2025-08-12 (92 days, rolling_year=365)
Interest = Principal x Rate x (Days / Year)
Interest = 1,00,000 x 0.08 x (92 / 365)
Interest = Rs. 2,016.44
## Interest for 8th Quarter
Period 8: 2025-11-12 to 2026-02-12 (92 days, rolling_year=365)
Interest = Principal x Rate x (Days / Year)
Interest = 1,00,000 x 0.08 x (92 / 365)
Interest = Rs. 2,016.44
You will receive Rs. 2,016.44 for both the 6th and 8th quarters.</t>
  </si>
  <si>
    <t>FD booking period: Between Feb 12, 2024 - Nov 11, 2024
Tenure: 3 years
Senior citizen rate: 8.0% p.a.
Type: Quarterly payout FD
Requested Period Index: 8
Period 8: 2025-11-12 to 2026-02-12 (92 days, rolling_year=365)
Interest = Principal x Rate x (Days / Year)
Interest = 1,00,000 x 0.08 x (92 / 365)
Interest = Rs. 2,016.44
Approx. Rs. 2,016.44 credited at end of 8th quarter
Similarly, 
Period 6: 2025-05-12 to 2025-08-12 (92 days, rolling_year=365)
Interest = Principal x Rate x (Days / Year)
Interest = 1,00,000 x 0.08 x (92 / 365)
Interest = Rs. 2,016.44
Approx. Rs. 2,016.44 credited at end of 6th quarter</t>
  </si>
  <si>
    <t>FD booking period: Between Feb 12, 2024 - Feb 12, 2027
Tenure: 3 years
Senior citizen rate: 8.0% p.a.
Type: Quarterly payout FD
Requested Period Index: 8
Requested Period Index: 6
## Calculation for 8th Quarter
Period 8: 2025-11-12 to 2026-02-12 (92 days, rolling_year=365)
Interest = Principal x Rate x (Days / Year)
Interest = 1,00,000 x 0.08 x (92 / 365)
Interest = Rs. 2,016.44
Approx. Rs. 2,016.44 credited at end of 8th quarter
## Calculation for 6th Quarter
Period 6: 2025-05-12 to 2025-08-12 (92 days, rolling_year=365)
Interest = Principal x Rate x (Days / Year)
Interest = 1,00,000 x 0.08 x (92 / 365)
Interest = Rs. 2,016.44
Approx. Rs. 2,016.44 credited at end of 6th quarter</t>
  </si>
  <si>
    <t>FD booking period: Between Nov 12, 2024 - Jun 14, 2025
Tenure: 2 years
Principal (P): Rs. 1,00,000
Start date: 1 April 2025
Maturity: 1 April 2027
Rate: 6.95% p.a. (regular citizen)
Type: Quarterly payout FD
Interest calculation: Exact day count per quarter
Period Schedule:
| Period | Days | Calculation | Interest |
| --- | --- | --- | --- |
| 1 Apr 2025 -&gt; 1 Jul 2025 | 91 | 1,00,000 x 0.0695 x (91/365) | Rs. 1,732.74 |
| 1 Jul 2025 -&gt; 1 Oct 2025 | 92 | 1,00,000 x 0.0695 x (92/365) | Rs. 1,751.78 |
| 1 Oct 2025 -&gt; 1 Jan 2026 | 92 | 1,00,000 x 0.0695 x (92/365) | Rs. 1,751.78 |
| 1 Jan 2026 -&gt; 1 Apr 2026 | 90 | 1,00,000 x 0.0695 x (90/365) | Rs. 1,713.70 |
| 1 Apr 2026 -&gt; 1 Jul 2026 | 91 | 1,00,000 x 0.0695 x (91/365) | Rs. 1,732.74 |
| 1 Jul 2026 -&gt; 1 Oct 2026 | 92 | 1,00,000 x 0.0695 x (92/365) | Rs. 1,751.78 |
| 1 Oct 2026 -&gt; 1 Jan 2027 | 92 | 1,00,000 x 0.0695 x (92/365) | Rs. 1,751.78 |
| 1 Jan 2027 -&gt; 1 Apr 2027 | 90 | 1,00,000 x 0.0695 x (90/365) | Rs. 1,713.70 |
Final Accurate Payout Summary:
Total quarterly payouts credited: Rs. 13,900
You will receive 8 quarterly credits during the FD period, with a total interest of Rs. 13,900.</t>
  </si>
  <si>
    <t>FD booking period: Between Mar 22, 2025 - Apr 1, 2025 (derived from rate card period, not directly provided)
## Interest Schedule for 2-Year FD
### FD Details
- **Principal**: Rs. 1,00,000
- **Start Date**: 1 April 2025
- **Maturity Date**: 1 April 2027
- **Tenure**: 2 years
- **Rate**: 6.95% p.a. (Regular Citizen)
- **Type**: Quarterly Payout FD
## Quarterly Interest Payouts
| Period | Days | Calculation | Interest |
| --- | --- | --- | --- |
| 1 Apr 2025 -&gt; 1 Jul 2025 | 91 | 1,00,000 x 0.0695 x (91/365) | Rs. 1,732.74 |
| 1 Jul 2025 -&gt; 1 Oct 2025 | 92 | 1,00,000 x 0.0695 x (92/365) | Rs. 1,751.78 |
| 1 Oct 2025 -&gt; 1 Jan 2026 | 92 | 1,00,000 x 0.0695 x (92/365) | Rs. 1,751.78 |
| 1 Jan 2026 -&gt; 1 Apr 2026 | 90 | 1,00,000 x 0.0695 x (90/365) | Rs. 1,713.70 |
| 1 Apr 2026 -&gt; 1 Jul 2026 | 91 | 1,00,000 x 0.0695 x (91/365) | Rs. 1,732.74 |
| 1 Jul 2026 -&gt; 1 Oct 2026 | 92 | 1,00,000 x 0.0695 x (92/365) | Rs. 1,751.78 |
| 1 Oct 2026 -&gt; 1 Jan 2027 | 92 | 1,00,000 x 0.0695 x (92/365) | Rs. 1,751.78 |
| 1 Jan 2027 -&gt; 1 Apr 2027 | 90 | 1,00,000 x 0.0695 x (90/365) | Rs. 1,713.70 |
## Total Interest
- **Gross Total Interest**: Rs. 13,900
You will receive 8 quarterly interest payouts during the FD period. Your total earnings over the 2-year tenure will be Rs. 13,900.</t>
  </si>
  <si>
    <t>FD booking period: Between Nov 12, 2024 - Jun 14, 2025
Tenure: 1 year -&gt; 7.25% (senior citizen)
Quarterly payout FD -&gt; exact days per quarter
Rolling year days: 365
Interest = Principal x Rate x (Days / Year)
Interest = 75,000 x 0.0725 x (92 / 365)
Interest = Rs. 1,370.55
Approx. Rs. 1,370.55 credited at end of first quarter.</t>
  </si>
  <si>
    <t>FD booking period: Between Mar 12, 2025 - Mar 14, 2026 
# â†‘ This comes from "Rate Source" in FD DETAILS. Format: "Rate card: 12-Mar-2025 to 14-Mar-2026" â†’ "Between Mar 12, 2025 - Mar 14, 2026"
Tenure: 1 to &lt;2 years -&gt; 7.25% (senior citizen)
Quarterly payout FD -&gt; exact days per quarter
Rolling year days: 365
Interest = Principal x Rate x (Days / Year)
Interest = 75,000 x 0.0725 x (92 / 365)
Interest = Rs. 1,370.55
Approx. Rs. 1,370.55 credited at end of first quarter</t>
  </si>
  <si>
    <t>FD booking period: "Between Jan 01, 2024 - Feb 11, 2024"
Tenure: 3 years
Rolling year days: 365
Interest = Principal x Rate x (Days / Year)
Period 7: 2025-07-01 to 2025-10-01 (92 days)
Calculation:
Interest = 2,00,000 x 0.077 x (92 / 365)
Interest = Rs. 3,881.64
You will receive Rs. 3,881.64 as the 7th instalment.</t>
  </si>
  <si>
    <t>FD booking period: "Between Jan 01, 2024 - Feb 11, 2024"
Tenure: 3 years
Type: Quarterly payout FD
Principal (P): Rs. 2,00,000
Rate: 7.7% p.a. (regular citizen)
Rolling year days: 365
Interest for 7th instalment = Principal x Rate x (Days / Year)
Period: 2025-07-01 to 2025-10-01 (92 days)
Calculation:
Interest = 2,00,000 x 0.077 x (92 / 365)
Interest = 2,00,000 x 0.077 x 0.252055
Interest = 2,00,000 x 0.0194
Interest = Rs. 3,881.64
You will receive Rs. 3,881.64 as the 7th instalment.</t>
  </si>
  <si>
    <t>FD booking period: Between Jan 01, 2024 - Jan 01, 2027
Tenure: 3 years
Payout type: Quarterly payout FD
Rolling year days: 365
Interest = Principal x Rate x (Days / Year)
For the 7th instalment: 
Period: 2025-07-01 to 2025-10-01 (92 days)
Calculation:
Interest = 2,00,000 x 0.0775 x (92 / 365)
Interest = Rs. 3,906.85
Approx. Rs. 3,906.85 credited at end of 7th quarter</t>
  </si>
  <si>
    <t>FD booking period: Between Feb 12, 2024 - Nov 11, 2024
Tenure: 2 years
Senior citizen rate: 7.75% p.a.
Type: Quarterly payout FD
Rolling year days: 365
Interest calculation: Exact day count per quarter
Period 8: 2026-08-10 to 2026-11-10 (92 days, rolling_year=365)
Interest = Principal x Rate x (Days / Year)
Interest = 3,00,000 x 0.0775 x (92 / 365)
Interest = Rs. 5,860.27
Approx. Rs. 5,860.27 credited at end of 8th quarter.
The final quarterly payout you will receive is Rs. 5,860.27.</t>
  </si>
  <si>
    <t>FD booking period: Between Nov 10, 2024 - Nov 10, 2026
Tenure: 2 years
Rolling year days: 365
Interest = Principal x Rate x (Days / Year)
For the very last quarterly payout (Period 8):
Period: 2026-08-10 to 2026-11-10
Days: 92
Calculation:
Interest = 3,00,000 x 0.0775 x (92 / 365)
Interest = Rs. 5,860.27
Approx. Rs. 5,860.27 credited at end of last quarter.</t>
  </si>
  <si>
    <t>FD booking period: Between Jan 01, 2000 - Feb 11, 2024
Tenure: 3 years
Quarterly payout FD -&gt; exact days per quarter
Rolling year days: 365
Interest Rate: 7.7% p.a. (regular citizen)
Requested Period Index: 3
Period 3: 2024-06-01 to 2024-09-01 (92 days, rolling_year=365)
Interest = Principal x Rate x (Days / Year)
Interest = 1,50,000 x 0.077 x (92 / 365)
Interest = Rs. 2,911.23
Approx. Rs. 2,911.23 credited at end of third quarter.</t>
  </si>
  <si>
    <t>FD booking period: Between Jan 01, 2000 - Feb 11, 2024
Tenure: 3 years
Quarterly payout FD -&gt; exact days per quarter
Rolling year days: 365
Interest for Q3 = Principal x Rate x (Days / Year)
= 1,50,000 x 0.077 x (92 / 365)
= 1,50,000 x 0.077 x 0.252
= 1,50,000 x 0.019404
= Rs. 2,911.23
Approx. Rs. 2,911.23 credited at end of Q3.</t>
  </si>
  <si>
    <t>FD booking period: Between Nov 12, 2024 - Jun 14, 2025
# â†‘ This comes from "Rate Source" in FD DETAILS. Format: "Rate card: 12-Nov-2024 to 14-Jun-2025" â†’ "Between Nov 12, 2024 - Jun 14, 2025"
Tenure: 1 to &lt;2 years -&gt; 6.75% (regular citizen)
Quarterly payout FD -&gt; exact days per quarter
Rolling year days: 365
Interest = Principal x Rate x (Days / Year)
Interest = 1,50,000 x 0.0775 x (92 / 365)
Interest = Rs. 2,930.14
Approx. Rs. 2,930.14 credited at end of Q3
Please note that this interest is before any applicable TDS.</t>
  </si>
  <si>
    <t>FD booking period: Between Jun 15, 2025 - Dec 31, 2099
Principal (P): Rs. 80,000
Start date: 1 July 2025
Maturity: 400 days later -&gt; 5 August 2026
Senior citizen rate: 6.75% p.a.
Type: Quarterly payout FD
Interest calculation: Exact day count per quarter
Rolling year = exact 365-day rolling year from each quarter start
Period                          Days  Calculation                          Interest
1 Jul 2025 -&gt; 1 Oct 2025       92   80,000 x 0.0675 x (92/365)           Rs. 1,361.10
1 Oct 2025 -&gt; 1 Jan 2026       92   80,000 x 0.0675 x (92/365)           Rs. 1,361.10
1 Jan 2026 -&gt; 1 Apr 2026        90   80,000 x 0.0675 x (90/365)           Rs. 1,331.51
1 Apr 2026 -&gt; 1 Jul 2026       91   80,000 x 0.0675 x (91/365)           Rs. 1,346.30
1 Jul 2026 -&gt; 5 Aug 2026       35   80,000 x 0.0675 x (35/365)           Rs.   517.81
Final Accurate Payout Summary
-----------------------------------------------------
Component                                    Amount
-----------------------------------------------------
Total quarterly payouts credited             Rs. 5,917.81
Your total earnings over the 400-day tenure will be Rs. 5,917.81.</t>
  </si>
  <si>
    <t>FD booking period: Between Jul 1, 2025 - Aug 5, 2026
Principal (P): Rs. 80,000
Start date: 1 July 2025
Maturity: 400 days later -&gt; 5 August 2026
Senior citizen rate: 7.10% p.a.
Type: Quarterly payout FD
Interest calculation: Exact day count per quarter
Period                          Days  Calculation                          Interest
1 Jul 2025 -&gt; 1 Oct 2025       92   80,000 x 0.071 x (92/365)           Rs. 1,431.67
1 Oct 2025 -&gt; 1 Jan 2026       92   80,000 x 0.071 x (92/365)           Rs. 1,431.67
1 Jan 2026 -&gt; 1 Apr 2026        90   80,000 x 0.071 x (90/365)           Rs. 1,400.55
1 Apr 2026 -&gt; 1 Jul 2026        91   80,000 x 0.071 x (91/365)           Rs. 1,416.11
1 Jul 2026 -&gt; 5 Aug 2026       35   80,000 x 0.071 x (35/365)           Rs.   544.66
Final Accurate Payout Summary
-----------------------------------------------------
Component                                    Amount
-----------------------------------------------------
Total quarterly payouts credited             Rs. 5,679.99
Final partial payout at maturity (35 days)   Rs.   544.66
-----------------------------------------------------
Total Interest on maturity                   Rs. 6,224.66
-----------------------------------------------------
You will receive 4 quarterly credits during the FD period, followed by a final partial interest payout at maturity.
Your total earnings over the 400-day tenure will be Rs. 6,224.66.</t>
  </si>
  <si>
    <t>FD booking period: Between Nov 12, 2024 - Jun 14, 2025
Tenure: 3 years
Principal (P): Rs. 5,50,00,000
Rate: 7.35% p.a. (senior citizen)
Type: Quarterly payout FD
Interest calculation: Exact day count per quarter
Period Schedule:
Period 1: 2025-02-01 to 2025-05-01 (89 days, rolling_year=365)
Interest = 5,50,00,000 x 0.0735 x (89 / 365)
Interest = Rs. 9,85,705.48
Period 2: 2025-05-01 to 2025-08-01 (92 days, rolling_year=365)
Interest = 5,50,00,000 x 0.0735 x (92 / 365)
Interest = Rs. 10,18,931.51
Period 3: 2025-08-01 to 2025-11-01 (92 days, rolling_year=365)
Interest = 5,50,00,000 x 0.0735 x (92 / 365)
Interest = Rs. 10,18,931.51
Period 4: 2025-11-01 to 2026-02-01 (92 days, rolling_year=365)
Interest = 5,50,00,000 x 0.0735 x (92 / 365)
Interest = Rs. 10,18,931.51
Period 5: 2026-02-01 to 2026-05-01 (89 days, rolling_year=365)
Interest = 5,50,00,000 x 0.0735 x (89 / 365)
Interest = Rs. 9,85,705.48
Period 6: 2026-05-01 to 2026-08-01 (92 days, rolling_year=365)
Interest = 5,50,00,000 x 0.0735 x (92 / 365)
Interest = Rs. 10,18,931.51
Period 7: 2026-08-01 to 2026-11-01 (92 days, rolling_year=365)
Interest = 5,50,00,000 x 0.0735 x (92 / 365)
Interest = Rs. 10,18,931.51
Period 8: 2026-11-01 to 2027-02-01 (92 days, rolling_year=365)
Interest = 5,50,00,000 x 0.0735 x (92 / 365)
Interest = Rs. 10,18,931.51
Period 9: 2027-02-01 to 2027-05-01 (89 days, rolling_year=365)
Interest = 5,50,00,000 x 0.0735 x (89 / 365)
Interest = Rs. 9,85,705.48
Period 10: 2027-05-01 to 2027-08-01 (92 days, rolling_year=366)
Interest = 5,50,00,000 x 0.0735 x (92 / 366)
Interest = Rs. 10,16,147.54
Period 11: 2027-08-01 to 2027-11-01 (92 days, rolling_year=366)
Interest = 5,50,00,000 x 0.0735 x (92 / 366)
Interest = Rs. 10,16,147.54
Period 12: 2027-11-01 to 2028-02-01 (92 days, rolling_year=366)
Interest = 5,50,00,000 x 0.0735 x (92 / 366)
Interest = Rs. 10,16,147.54
Full Breakdown Summary:
-----------------------------------------------------
Period                          Days  Calculation                          Interest
-----------------------------------------------------
2025-02-01 to 2025-05-01       89   5,50,00,000 x 0.0735 x (89/365)   Rs.   9,85,705.48
2025-05-01 to 2025-08-01       92   5,50,00,000 x 0.0735 x (92/365)   Rs.  10,18,931.51
2025-08-01 to 2025-11-01       92   5,50,00,000 x 0.0735 x (92/365)   Rs.  10,18,931.51
2025-11-01 to 2026-02-01       92   5,50,00,000 x 0.0735 x (92/365)   Rs.  10,18,931.51
2026-02-01 to 2026-05-01       89   5,50,00,000 x 0.0735 x (89/365)   Rs.   9,85,705.48
2026-05-01 to 2026-08-01       92   5,50,00,000 x 0.0735 x (92/365)   Rs.  10,18,931.51
2026-08-01 to 2026-11-01       92   5,50,00,000 x 0.0735 x (92/365)   Rs.  10,18,931.51
2026-11-01 to 2027-02-01       92   5,50,00,000 x 0.0735 x (92/365)   Rs.  10,18,931.51
2027-02-01 to 2027-05-01       89   5,50,00,000 x 0.0735 x (89/365)   Rs.   9,85,705.48
2027-05-01 to 2027-08-01       92   5,50,00,000 x 0.0735 x (92/366)   Rs.  10,16,147.54
2027-08-01 to 2027-11-01       92   5,50,00,000 x 0.0735 x (92/366)   Rs.  10,16,147.54
2027-11-01 to 2028-02-01       92   5,50,00,000 x 0.0735 x (92/366)   Rs.  10,16,147.54
-----------------------------------------------------
Total Interest on maturity                   Rs. 1,21,19,148.10
You will receive 12 quarterly credits during the FD period, with the final payout at maturity.
Your total earnings over the 3-year tenure will be Rs. 1,21,19,148.10.</t>
  </si>
  <si>
    <t>FD booking period: Between Jan 12, 2025 - Feb 5, 2028 
# â†‘ This comes from "Rate Source" in FD DETAILS. Format: "Rate card: 12-Jan-2025 to 05-Feb-2028" â†’ "Between Jan 12, 2025 - Feb 5, 2028"
Tenure: 3 years  -&gt; 7.35% (senior citizen)
Type: Quarterly payout FD
Rolling year days: 365
Interest = Principal x Rate x (Days / Year)
Period 1: 2025-02-01 to 2025-05-01 (89 days, rolling_year=365)
Interest = 5,50,00,000 x 0.0735 x (89 / 365)
Interest = Rs. 9,85,705.48
Approx. Rs. 9,85,705.48 credited at end of first quarter
Similarly, 
Period 2: 2025-05-01 to 2025-08-01 (92 days, rolling_year=365)
Interest = 5,50,00,000 x 0.0735 x (92 / 365)
Interest = Rs. 10,18,931.51
Period 3: 2025-08-01 to 2025-11-01 (92 days, rolling_year=365)
Interest = 5,50,00,000 x 0.0735 x (92 / 365)
Interest = Rs. 10,18,931.51
Period 4: 2025-11-01 to 2026-02-01 (92 days, rolling_year=365)
Interest = 5,50,00,000 x 0.0735 x (92 / 365)
Interest = Rs. 10,18,931.51
Period 5: 2026-02-01 to 2026-05-01 (89 days, rolling_year=365)
Interest = 5,50,00,000 x 0.0735 x (89 / 365)
Interest = Rs. 9,85,705.48
Period 6: 2026-05-01 to 2026-08-01 (92 days, rolling_year=365)
Interest = 5,50,00,000 x 0.0735 x (92 / 365)
Interest = Rs. 10,18,931.51
Period 7: 2026-08-01 to 2026-11-01 (92 days, rolling_year=365)
Interest = 5,50,00,000 x 0.0735 x (92 / 365)
Interest = Rs. 10,18,931.51
Period 8: 2026-11-01 to 2027-02-01 (92 days, rolling_year=365)
Interest = 5,50,00,000 x 0.0735 x (92 / 365)
Interest = Rs. 10,18,931.51
Period 9: 2027-02-01 to 2027-05-01 (89 days, rolling_year=365)
Interest = 5,50,00,000 x 0.0735 x (89 / 365)
Interest = Rs. 9,85,705.48
Period 10: 2027-05-01 to 2027-08-01 (92 days, rolling_year=366)
Interest = 5,50,00,000 x 0.0735 x (92 / 366)
Interest = Rs. 10,16,147.54
Period 11: 2027-08-01 to 2027-11-01 (92 days, rolling_year=366)
Interest = 5,50,00,000 x 0.0735 x (92 / 366)
Interest = Rs. 10,16,147.54
Period 12: 2027-11-01 to 2028-02-01 (92 days, rolling_year=366)
Interest = 5,50,00,000 x 0.0735 x (92 / 366)
Interest = Rs. 10,16,147.54
Final Accurate Payout Summary
-----------------------------------------------------
Component                                    Amount
-----------------------------------------------------
Total quarterly payouts credited             Rs. 1,21,19,148.10
-----------------------------------------------------
Total Interest on maturity                   Rs. 1,21,19,148.10
-----------------------------------------------------
You will receive 12 quarterly credits during the FD period. 
Your total earnings over the 3-year tenure will be Rs. 1,21,19,148.10.</t>
  </si>
  <si>
    <t>FD booking period: Between Feb 12, 2024 - Nov 11, 2024
Tenure: 1 to &lt;2 years -&gt; 7.75% (senior citizen)
Quarterly payout FD -&gt; exact days per quarter
Rolling year days: 365
Interest = Principal x Rate x (Days / Year)
Interest = 50,000 x 0.0775 x (91 / 365)
Interest = Rs. 966.10
Approx. Rs. 966.10 credited at end of first quarter</t>
  </si>
  <si>
    <t>FD booking period: Between Sep 12, 2024 - Jun 14, 2025
Tenure: 1 to &lt;2 years -&gt; 7.75% (senior citizen)
Quarterly payout FD -&gt; exact days per quarter
Rolling year days: 365
Interest = Principal x Rate x (Days / Year)
Interest = 50,000 x 0.0775 x (91 / 365)
Interest = Rs. 966.10
Approx. Rs. 966.10 credited at end of first quarter</t>
  </si>
  <si>
    <t>FD booking period: Between Nov 12, 2024 - Jun 14, 2025
Tenure: 1 to &lt;2 years -&gt; 6.75% (regular citizen)
Quarterly payout FD -&gt; exact days per quarter
Here are the quarterly credit dates and amounts:
Period                          Days  Calculation                          Interest
2025-01-31 to 2025-04-30       89   1,00,000 x 0.0675 x (89/365)           Rs. 1,645.89
2025-04-30 to 2025-07-31       92   1,00,000 x 0.0675 x (92/365)           Rs. 1,701.37
2025-07-31 to 2025-10-31       92   1,00,000 x 0.0675 x (92/365)           Rs. 1,701.37
2025-10-31 to 2026-01-31       92   1,00,000 x 0.0675 x (92/365)           Rs. 1,701.37
Final Accurate Payout Summary
-----------------------------------------------------
Component                                    Amount
-----------------------------------------------------
Total quarterly payouts credited             Rs. 6,750.00
Your total earnings over the 1-year tenure will be Rs. 6,750.00.</t>
  </si>
  <si>
    <t>FD booking period: Between Jan 12, 2025 - Jan 31, 2026 
# â†‘ This comes from "Rate Source" in FD DETAILS. Format: "Rate card: 12-Jan-2025 to 14-Jun-2025" â†’ "Between Jan 12, 2025 - Jun 14, 2025"
Tenure: 1 to &lt;2 years -&gt; 6.75% (regular citizen)
Quarterly payout FD -&gt; exact days per quarter
Here are the quarterly credit dates and amounts:
Period                          Days  Calculation                          Interest
2025-01-31 to 2025-04-30       89   1,00,000 x 0.0675 x (89/365)           Rs. 1,645.89
2025-04-30 to 2025-07-31       92   1,00,000 x 0.0675 x (92/365)           Rs. 1,701.37
2025-07-31 to 2025-10-31       92   1,00,000 x 0.0675 x (92/365)           Rs. 1,701.37
2025-10-31 to 2026-01-31       92   1,00,000 x 0.0675 x (92/365)           Rs. 1,701.37
Final Accurate Payout Summary
-----------------------------------------------------
Component                                    Amount
-----------------------------------------------------
Total quarterly payouts credited             Rs. 6,750.00
-----------------------------------------------------
Total Interest on maturity                   Rs. 6,750.00
-----------------------------------------------------
You will receive 4 quarterly credits during the FD period. 
Your total earnings over the 1-year tenure will be Rs. 6,750.00.</t>
  </si>
  <si>
    <t>FD booking period: Between Nov 12, 2024 - Jun 14, 2025
Principal (P): Rs. 2,00,000
Start date: 30 November 2024
Maturity: 30 November 2026
Senior citizen rate: 7.45% p.a.
Type: Quarterly payout FD
Interest calculation: Exact day count per quarter
Rolling year = exact 365-day rolling year from each quarter start
Period                          Days  Calculation                          Interest
30 Nov 2024 -&gt; 28 Feb 2025       90   2,00,000 x 0.0745 x (90/365)           Rs.  3,673.97
28 Feb 2025 -&gt; 30 May 2025       91   2,00,000 x 0.0745 x (91/365)           Rs.  3,714.79
30 May 2025 -&gt; 30 Aug 2025       92   2,00,000 x 0.0745 x (92/365)           Rs.  3,755.62
30 Aug 2025 -&gt; 30 Nov 2025       92   2,00,000 x 0.0745 x (92/365)           Rs.  3,755.62
30 Nov 2025 -&gt; 28 Feb 2026       90   2,00,000 x 0.0745 x (90/365)           Rs.  3,673.97
28 Feb 2026 -&gt; 30 May 2026       91   2,00,000 x 0.0745 x (91/365)           Rs.  3,714.79
30 May 2026 -&gt; 30 Aug 2026       92   2,00,000 x 0.0745 x (92/365)           Rs.  3,755.62
30 Aug 2026 -&gt; 30 Nov 2026       92   2,00,000 x 0.0745 x (92/365)           Rs.  3,755.62
Final Accurate Payout Summary
-----------------------------------------------------
Component                                    Amount
-----------------------------------------------------
Total quarterly payouts credited             Rs. 29,800.00
-----------------------------------------------------
Total Interest on maturity                   Rs. 29,800.00
-----------------------------------------------------
You will receive 8 quarterly credits during the FD period.
Your total earnings over the 2-year tenure will be Rs. 29,800.00.</t>
  </si>
  <si>
    <t>FD booking period: Between Nov 12, 2024 - Jun 14, 2025
Tenure: 2 years -&gt; 7.45% (senior citizen)
Quarterly payout FD -&gt; exact days per quarter
Here are the 8 quarterly credit amounts with dates:
Period 1: 30 Nov 2024 -&gt; 28 Feb 2025 (90 days) 
Interest = 2,00,000 x 0.0745 x (90 / 365) 
Interest = Rs. 3,673.97
Period 2: 28 Feb 2025 -&gt; 30 May 2025 (91 days) 
Interest = 2,00,000 x 0.0745 x (91 / 365) 
Interest = Rs. 3,714.79
Period 3: 30 May 2025 -&gt; 30 Aug 2025 (92 days) 
Interest = 2,00,000 x 0.0745 x (92 / 365) 
Interest = Rs. 3,755.62
Period 4: 30 Aug 2025 -&gt; 30 Nov 2025 (92 days) 
Interest = 2,00,000 x 0.0745 x (92 / 365) 
Interest = Rs. 3,755.62
Period 5: 30 Nov 2025 -&gt; 28 Feb 2026 (90 days) 
Interest = 2,00,000 x 0.0745 x (90 / 365) 
Interest = Rs. 3,673.97
Period 6: 28 Feb 2026 -&gt; 30 May 2026 (91 days) 
Interest = 2,00,000 x 0.0745 x (91 / 365) 
Interest = Rs. 3,714.79
Period 7: 30 May 2026 -&gt; 30 Aug 2026 (92 days) 
Interest = 2,00,000 x 0.0745 x (92 / 365) 
Interest = Rs. 3,755.62
Period 8: 30 Aug 2026 -&gt; 30 Nov 2026 (92 days) 
Interest = 2,00,000 x 0.0745 x (92 / 365) 
Interest = Rs. 3,755.62
Final Accurate Payout Summary
-----------------------------------------------------
Component                                    Amount
-----------------------------------------------------
Total quarterly payouts credited             Rs. 29,800.00
-----------------------------------------------------
Total Interest on maturity                   Rs. 29,800.00
-----------------------------------------------------
You will receive 8 quarterly credits during the FD period, with a total interest of Rs. 29,800.00.</t>
  </si>
  <si>
    <t>FD booking period: Between Nov 12, 2024 - Jun 14, 2025
Tenure: 2 years
Principal (P): Rs. 2,99,00,000
Rate: 6.95% p.a. (regular citizen)
Type: Quarterly payout FD
Interest calculation: Exact day count per quarter
Period 1: 2025-03-01 to 2025-06-01 (92 days, rolling_year=365)
Interest = 2,99,00,000 x 0.0695 x (92 / 365)
Interest = Rs. 5,23,782.47
Approx. Rs. 5,23,782.47 credited at end of first quarter
Similarly, the interest for each quarter will be:
Period 2: 2025-06-01 to 2025-09-01 (92 days, rolling_year=365) 
Interest = Rs. 5,23,782.47
Period 3: 2025-09-01 to 2025-12-01 (91 days, rolling_year=365) 
Interest = Rs. 5,18,089.18
Period 4: 2025-12-01 to 2026-03-01 (90 days, rolling_year=365) 
Interest = Rs. 5,12,395.89
Period 5: 2026-03-01 to 2026-06-01 (92 days, rolling_year=365) 
Interest = Rs. 5,23,782.47
Period 6: 2026-06-01 to 2026-09-01 (92 days, rolling_year=365) 
Interest = Rs. 5,23,782.47
Period 7: 2026-09-01 to 2026-12-01 (91 days, rolling_year=365) 
Interest = Rs. 5,18,089.18
Period 8: 2026-12-01 to 2027-03-01 (90 days, rolling_year=365) 
Interest = Rs. 5,12,395.89
You will receive Rs. 5,23,782.47 as interest at the end of the first quarter. 
The interest for the subsequent quarters will be as shown above. 
The total interest earned over the 2-year tenure will be Rs. 41,56,100.</t>
  </si>
  <si>
    <t>FD booking period: Between Mar 1, 2025 - Mar 1, 2027
Tenure: 2 years
Payout Type: Quarterly payout FD
Principal (P): Rs. 2,99,00,000
Rate: 6.7% p.a. (regular citizen)
Calculation:
Interest = Principal x Rate x (Days / Year)
Let's calculate the interest for the first quarter:
Period 1: 2025-03-01 to 2025-06-01 (92 days, rolling_year=365)
Interest = 2,99,00,000 x 0.067 x (92 / 365)
Interest = 2,99,00,000 x 0.067 x 0.252
Interest = Rs. 5,04,941.37
Approx. Rs. 5,04,941.37 credited at the end of the first quarter.
This process will repeat for all 8 quarters.
For a full breakdown:
Period                          Days  Calculation                          Interest
2025-03-01 to 2025-06-01       92   2,99,00,000 x 0.067 x (92/365)           Rs. 5,04,941.37
2025-06-01 to 2025-09-01       92   2,99,00,000 x 0.067 x (92/365)           Rs. 5,04,941.37
2025-09-01 to 2025-12-01       91   2,99,00,000 x 0.067 x (91/365)           Rs. 4,99,452.88
2025-12-01 to 2026-03-01       90   2,99,00,000 x 0.067 x (90/365)           Rs. 4,93,964.38
2026-03-01 to 2026-06-01       92   2,99,00,000 x 0.067 x (92/365)           Rs. 5,04,941.37
2026-06-01 to 2026-09-01       92   2,99,00,000 x 0.067 x (92/365)           Rs. 5,04,941.37
2026-09-01 to 2026-12-01       91   2,99,00,000 x 0.067 x (91/365)           Rs. 4,99,452.88
2026-12-01 to 2027-03-01       90   2,99,00,000 x 0.067 x (90/365)           Rs. 4,93,964.38
Final Accurate Payout Summary
-----------------------------------------------------
Component                                    Amount
-----------------------------------------------------
Total quarterly payouts credited             Rs. 40,06,600
-----------------------------------------------------
Total Interest on maturity                   Rs. 40,06,600
-----------------------------------------------------
You will receive 8 quarterly credits during the FD period.
Your total earnings over the 2-year tenure will be Rs. 40,06,600.</t>
  </si>
  <si>
    <t>FD booking period: Between Nov 12, 2024 - Jun 14, 2025
Tenure: 8 quarters -&gt; 730 days
Senior citizen rate: 7.45% p.a.
Type: Quarterly payout FD
Rolling year days: 365
Here are the quarterly interest payouts:
Period                          Days  Calculation                          Interest
2025-01-15 to 2025-04-15       90   1,25,000 x 0.0745 x (90/365)           Rs. 2,296.23
2025-04-15 to 2025-07-15       91   1,25,000 x 0.0745 x (91/365)           Rs. 2,321.75
2025-07-15 to 2025-10-15       92   1,25,000 x 0.0745 x (92/365)           Rs. 2,347.26
2025-10-15 to 2026-01-15       92   1,25,000 x 0.0745 x (92/365)           Rs. 2,347.26
2026-01-15 to 2026-04-15       90   1,25,000 x 0.0745 x (90/365)           Rs. 2,296.23
2026-04-15 to 2026-07-15       91   1,25,000 x 0.0745 x (91/365)           Rs. 2,321.75
2026-07-15 to 2026-10-15       92   1,25,000 x 0.0745 x (92/365)           Rs. 2,347.26
2026-10-15 to 2027-01-15       92   1,25,000 x 0.0745 x (92/365)           Rs. 2,347.26
Final Accurate Payout Summary
-----------------------------------------------------
Component                                    Amount
-----------------------------------------------------
Total quarterly payouts credited             Rs. 18,625
Your total earnings over the 8-quarter tenure will be Rs. 18,625.</t>
  </si>
  <si>
    <t>FD booking period: Between Jan 12, 2025 - Jan 14, 2027 
# â†‘ This comes from "Rate Source" in FD DETAILS. Format: "Rate card: 12-Jan-2025 to 14-Jan-2027" â†’ "Between Jan 12, 2025 - Jan 14, 2027"
Tenure: 8 quarters -&gt; 7.45% (senior citizen)
Quarterly payout FD -&gt; exact days per quarter
Rolling year days: 365
Here are the details of your FD:
Principal (P): Rs. 1,25,000
Start date: 15 January 2025
Maturity: 15 January 2027
Senior citizen rate: 7.45% p.a.
Type: Quarterly payout FD
Interest calculation: Exact day count per quarter
Period                          Days  Calculation                          Interest
15 Jan 2025 -&gt; 15 Apr 2025       90   1,25,000 x 0.0745 x (90/365)           Rs. 2,296.23
15 Apr 2025 -&gt; 15 Jul 2025       91   1,25,000 x 0.0745 x (91/365)           Rs. 2,321.75
15 Jul 2025 -&gt; 15 Oct 2025      92   1,25,000 x 0.0745 x (92/365)           Rs. 2,347.26
15 Oct 2025 -&gt; 15 Jan 2026      92   1,25,000 x 0.0745 x (92/365)           Rs. 2,347.26
15 Jan 2026 -&gt; 15 Apr 2026      90   1,25,000 x 0.0745 x (90/365)           Rs. 2,296.23
15 Apr 2026 -&gt; 15 Jul 2026      91   1,25,000 x 0.0745 x (91/365)           Rs. 2,321.75
15 Jul 2026 -&gt; 15 Oct 2026      92   1,25,000 x 0.0745 x (92/365)           Rs. 2,347.26
15 Oct 2026 -&gt; 15 Jan 2027      92   1,25,000 x 0.0745 x (92/365)           Rs. 2,347.26
Final Accurate Payout Summary
-----------------------------------------------------
Component                                    Amount
-----------------------------------------------------
Total quarterly payouts credited             Rs. 18,625.00
-----------------------------------------------------
Total Interest on maturity                   Rs. 18,625.00
-----------------------------------------------------
You will receive 8 quarterly credits during the FD period. 
Your total earnings over the 8-quarter tenure will be Rs. 18,625.00.</t>
  </si>
  <si>
    <t>FD booking period: Between Feb 12, 2024 - Nov 11, 2024
Tenure: 3 years
Principal (P): Rs. 3,00,000
Rate: 8.00% p.a. (senior citizen)
Type: Quarterly payout FD
Requested Period Index: 2
Period 2: 2024-12-23 to 2025-03-23 (90 days)
Rolling year days: 365
Interest = Principal x Rate x (Days / Year)
Interest = 3,00,000 x 0.08 x (90 / 365)
Interest = Rs. 5,917.81
Approx. Rs. 5,917.81 credited at end of Q2
Now, let's compare Q2 and Q5 interest:
Period 2 (Q2): 2024-12-23 to 2025-03-23 (90 days) = Rs. 5,917.81
Period 5: 2025-09-23 to 2025-12-23 (91 days) = Rs. 5,983.56
Although the days look similar (90 vs 91), the interest amounts are not identical due to the exact day count and rolling year consideration.
The difference in interest between Q2 and Q5 is due to the difference in days (90 vs 91) and the specific dates of each period. 
You will receive Rs. 5,917.81 at the end of Q2.</t>
  </si>
  <si>
    <t>FD booking period: Between Feb 12, 2024 - Nov 11, 2024
Tenure: 3 years
Senior citizen rate: 8.0% p.a.
Type: Quarterly payout FD
You requested details for Q2 (Period 2). 
Period 2: 2024-12-23 to 2025-03-23 (90 days, rolling_year=365)
Interest = Principal x Rate x (Days / Year)
Interest = 3,00,000 x 0.08 x (90 / 365)
Interest = Rs. 5,917.81
Approx. Rs. 5,917.81 credited at end of Q2.
Now, let's compare with Q5: 
Period 5: 2025-09-23 to 2025-12-23 (91 days, rolling_year=365)
Interest = Principal x Rate x (Days / Year)
Interest = 3,00,000 x 0.08 x (91 / 365)
Interest = Rs. 5,983.56
Although both periods have almost the same number of days (90 vs 91), the interest amounts are different due to the exact day count and the corresponding rolling year. 
The interest payout varies slightly across quarters due to the actual day count in each quarter. 
Thus, Q2 interest is different from Q5 because of the precise day count in each period.</t>
  </si>
  <si>
    <t>FD booking period: Between Sep 12, 2024 - Sep 14, 2027 
# â†‘ This comes from "Rate Source" in FD DETAILS. Format: "Rate card: 12-Sep-2024 to 14-Sep-2027" â†’ "Between Sep 12, 2024 - Sep 14, 2027"
Tenure: 3 years
You booked a Fixed Deposit of Rs. 3,00,000 on 23 Sep 2024 for 3 years. You are a senior citizen and opted for quarterly interest payouts.
Interest calculation: Exact day count per quarter
Rolling year days: 365 (for periods 1-10), 366 (for periods 11-12)
Requested Period Index: 2
Period 2: 2024-12-23 to 2025-03-23 (90 days, rolling_year=365)
Interest = Principal x Rate x (Days / Year)
Interest = 3,00,000 x 0.08 x (90 / 365)
Interest = Rs. 5,917.81
Approx. Rs. 5,917.81 credited at end of Q2
Now, let's check Q5: 
Period 5: 2025-09-23 to 2025-12-23 (91 days, rolling_year=365)
Interest = Principal x Rate x (Days / Year)
Interest = 3,00,000 x 0.08 x (91 / 365)
Interest = Rs. 5,983.56
Although both periods have almost the same number of days (90 vs 91), the interest amounts are different due to the exact day count and compounding effect.
The difference in interest between Q2 and Q5 is due to the actual number of days in each quarter (90 days in Q2 and 91 days in Q5). 
You will receive Rs. 5,917.81 at the end of Q2 and Rs. 5,983.56 at the end of Q5.</t>
  </si>
  <si>
    <t>FD booking period: Between Nov 12, 2024 - Jun 14, 2025
Tenure: Less than 1 year -&gt; 5.4% (regular citizen)
Rolling year days: 365
Interest = Principal x Rate x (Days / Year)
Interest = 50,000 x 0.054 x (91 / 365)
Interest = Rs. 673.15
You will receive Rs. 673.15 as interest for the 91-day FD period.</t>
  </si>
  <si>
    <t>FD booking period: Between May 27, 2025 - Aug 29, 2025 
# â†‘ This comes from "Rate Source" in FD DETAILS. Format: "Rate card: 27-May-2025 to 29-Aug-2025" â†’ "Between May 27, 2025 - Aug 29, 2025"
Tenure: Less than 1 year -&gt; 5.4% (regular citizen)
Quarterly payout FD -&gt; exact days per quarter
Rolling year days: 365
Interest = Principal x Rate x (Days / Year)
Interest = 50,000 x 0.054 x (91 / 365)
Interest = Rs. 673.15
Approx. Rs. 673.15 credited at end of first quarter
Since your FD booking date (2025-06-01) is in the past, the calculation is based on the historical interest rate of 5.4% p.a.</t>
  </si>
  <si>
    <t>FD booking period: Between Feb 12, 2024 - Nov 11, 2024
Tenure: 5 years
Rolling year days: 365
Interest = Principal x Rate x (Days / Year)
For the first quarter: 
Period: 2024-04-01 to 2024-07-01 (91 days)
Calculation:
Interest = 4,00,00,000 x 0.077 x (91 / 365)
Interest = Rs. 7,67,890.41
Approx. Rs. 7,67,890.41 credited at the end of the first quarter.</t>
  </si>
  <si>
    <t>FD booking period: Between Feb 12, 2024 - Nov 11, 2024
Tenure: 5 years
Senior citizen NRI rate: 7.7% p.a.
Type: Quarterly payout FD
Quarterly payout FD -&gt; exact days per quarter
Rolling year days: 365
Interest = Principal x Rate x (Days / Year)
For the first quarter: 
Period: 2024-04-01 to 2024-07-01 (91 days)
Interest = 4,00,00,000 x 0.077 x (91 / 365)
Interest = Rs. 7,67,890.41
Approx. Rs. 7,67,890.41 credited at the end of the first quarter.</t>
  </si>
  <si>
    <t>FD booking period: Between Mar 22, 2024 - Apr 01, 2024
# â†‘ This comes from "Rate Source" in FD DETAILS. Format: "Rate card: 22-Mar-2024 to 01-Apr-2024" â†’ "Between Mar 22, 2024 - Apr 01, 2024"
Tenure: 5 years -&gt; 7.7% (senior citizen NRI)
Quarterly payout FD -&gt; exact days per quarter
Rolling year days: 365
Interest = Principal x Rate x (Days / Year)
Interest = 4,00,00,000 x 0.077 x (91 / 365)
Interest = Rs. 7,67,890.41
Approx. Rs. 7,67,890.41 credited at end of first quarter</t>
  </si>
  <si>
    <t>FD booking period: Between Nov 12, 2024 - Jun 14, 2025
Tenure: 1 to &lt;2 years -&gt; 6.95% (regular citizen)
Quarterly payout FD -&gt; exact days per quarter
Rolling year days: 365
Interest = Principal x Rate x (Days / Year)
Interest = 1,00,000 x 0.0695 x (92 / 365)
Interest = Rs. 1,751.78
Approx. Rs. 1,751.78 credited at end of first quarter</t>
  </si>
  <si>
    <t>FD booking period: Between Mar 12, 2025 - Mar 14, 2027 
# â†‘ This comes from "Rate Source" in FD DETAILS. Format: "Rate card: 12-Mar-2025 to 14-Mar-2027" â†’ "Between Mar 12, 2025 - Mar 14, 2027"
Tenure: 2 years -&gt; 6.95% (regular citizen)
Quarterly payout FD -&gt; exact days per quarter
Rolling year days: 365
Interest = Principal x Rate x (Days / Year)
Interest = 1,00,000 x 0.0695 x (92 / 365)
Interest = Rs. 1,751.78
Approx. Rs. 1,751.78 credited at end of first quarter</t>
  </si>
  <si>
    <t>FD booking period: Between Nov 12, 2024 - Jun 14, 2025
Tenure: 1 to &lt;2 years -&gt; 6.75% (regular citizen)
Quarterly payout FD -&gt; exact days per quarter
Rolling year days: 365
Interest = Principal x Rate x (Days / Year)
Interest = 2,50,000 x 0.0675 x (92 / 365)
Interest = Rs. 4,253.42
Approx. Rs. 4,253.42 credited at end of first quarter</t>
  </si>
  <si>
    <t>FD booking period: Between Apr 16, 2025 - Nov 12, 2025 
# â†‘ This comes from "Rate Source" in FD DETAILS. Format: "Rate card: 12-Nov-2024 to 14-Jun-2025" â†’ "Between Nov 12, 2024 - Jun 14, 2025"
Tenure: 1 to &lt;2 years -&gt; 6.75% (regular citizen)
Quarterly payout FD -&gt; exact days per quarter
Rolling year days: 365
Interest = Principal x Rate x (Days / Year)
Interest = 2,50,000 x 0.0675 x (92 / 365)
Interest = Rs. 4,253.42
Approx. Rs. 4,253.42 credited at end of first quarter</t>
  </si>
  <si>
    <t>FD booking period: "Between Feb 12, 2024 - Nov 11, 2024"
Tenure: 3 years
Senior citizen rate: 8.0% p.a.
Type: Quarterly payout FD
We need to calculate the interest for Q11 and Q12.
Period 11: 2027-03-23 to 2027-06-23 (92 days, rolling_year=366)
Interest = Principal x Rate x (Days / Year)
Rolling year days: 366
Interest = 1,00,000 x 0.08 x (92 / 366)
Interest = Rs. 2,010.93
Approx. Rs. 2,010.93 credited at end of Q11.
Period 12: 2027-06-23 to 2027-09-23 (92 days, rolling_year=366)
Interest = Principal x Rate x (Days / Year)
Rolling year days: 366
Interest = 1,00,000 x 0.08 x (92 / 366)
Interest = Rs. 2,010.93
Approx. Rs. 2,010.93 credited at end of Q12.</t>
  </si>
  <si>
    <t>FD booking period: "Between Feb 12, 2024 - Nov 11, 2024"
Tenure: 3 years
Senior citizen rate: 8.0% p.a.
Type: Quarterly payout FD
We need to calculate the interest for Q11 and Q12.
## Q11 Calculation
Period 11: 2027-03-23 to 2027-06-23 (92 days, rolling_year=365)
Interest = Principal x Rate x (Days / Year)
Interest = 1,00,000 x 0.08 x (92 / 365)
Interest = Rs. 2,016.44
## Q12 Calculation
Period 12: 2027-06-23 to 2027-09-23 (92 days, rolling_year=365)
Interest = Principal x Rate x (Days / Year)
Interest = 1,00,000 x 0.08 x (92 / 365)
Interest = Rs. 2,016.44
You will receive Rs. 2,016.44 for Q11 and Rs. 2,016.44 for Q12.</t>
  </si>
  <si>
    <t>FD booking period: "Between Sep 23, 2024 - Sep 23, 2027"
Tenure: 3 years
Senior citizen rate: 8.0% p.a.
Type: Quarterly payout FD
We need to calculate the interest for Q11 and Q12.
## Q11 Calculation
Period 11: 2027-03-23 to 2027-06-23 (92 days, rolling_year=366)
Interest = Principal x Rate x (Days / Year)
Interest = 1,00,000 x 0.08 x (92 / 366)
Interest = Rs. 2,010.93
## Q12 Calculation
Period 12: 2027-06-23 to 2027-09-23 (92 days, rolling_year=366)
Interest = Principal x Rate x (Days / Year)
Interest = 1,00,000 x 0.08 x (92 / 366)
Interest = Rs. 2,010.93
You will receive Rs. 2,010.93 for Q11 and Rs. 2,010.93 for Q12.</t>
  </si>
  <si>
    <t>FD booking period: Between Nov 12, 2024 - Jun 14, 2025
Tenure: 1 to &lt;2 years -&gt; 7.25% (senior citizen)
Monthly payout FD -&gt; exact days per month
Here are the 12 monthly credits with amounts:
Period                          Days  Calculation                          Interest
2025-03-01 to 2025-04-01       31   5,00,000 x 0.0725 x (31/365)           Rs. 3,078.77
2025-04-01 to 2025-05-01       30   5,00,000 x 0.0725 x (30/365)           Rs. 2,979.45
2025-05-01 to 2025-06-01       31   5,00,000 x 0.0725 x (31/365)           Rs. 3,078.77
2025-06-01 to 2025-07-01       30   5,00,000 x 0.0725 x (30/365)           Rs. 2,979.45
2025-07-01 to 2025-08-01       31   5,00,000 x 0.0725 x (31/365)           Rs. 3,078.77
2025-08-01 to 2025-09-01       31   5,00,000 x 0.0725 x (31/365)           Rs. 3,078.77
2025-09-01 to 2025-10-01       30   5,00,000 x 0.0725 x (30/365)           Rs. 2,979.45
2025-10-01 to 2025-11-01       31   5,00,000 x 0.0725 x (31/365)           Rs. 3,078.77
2025-11-01 to 2025-12-01       30   5,00,000 x 0.0725 x (30/365)           Rs. 2,979.45
2025-12-01 to 2026-01-01       31   5,00,000 x 0.0725 x (31/365)           Rs. 3,078.77
2026-01-01 to 2026-02-01       31   5,00,000 x 0.0725 x (31/365)           Rs. 3,078.77
2026-02-01 to 2026-03-01       28   5,00,000 x 0.0725 x (28/365)           Rs. 2,780.82
Final Accurate Payout Summary
-----------------------------------------------------
Component                                    Amount
-----------------------------------------------------
Total monthly payouts credited             Rs. 36,250.00
-----------------------------------------------------
Total Interest on maturity                   Rs. 36,250.00
-----------------------------------------------------
You will receive 12 monthly credits during the FD period, with a total interest of Rs. 36,250.00.</t>
  </si>
  <si>
    <t>FD booking period: Between Mar 1, 2025 - Mar 1, 2026
Tenure: 1 year -&gt; 7.25% (senior citizen)
Type: Monthly payout FD
Here are the 12 monthly credits with amounts:
Period                          Days  Calculation                          Interest
2025-03-01 to 2025-04-01       31   5,00,000 x 0.0725 x (31/365)           Rs.   3,078.77
2025-04-01 to 2025-05-01       30   5,00,000 x 0.0725 x (30/365)           Rs.   2,979.45
2025-05-01 to 2025-06-01       31   5,00,000 x 0.0725 x (31/365)           Rs.   3,078.77
2025-06-01 to 2025-07-01       30   5,00,000 x 0.0725 x (30/365)           Rs.   2,979.45
2025-07-01 to 2025-08-01       31   5,00,000 x 0.0725 x (31/365)           Rs.   3,078.77
2025-08-01 to 2025-09-01       31   5,00,000 x 0.0725 x (31/365)           Rs.   3,078.77
2025-09-01 to 2025-10-01       30   5,00,000 x 0.0725 x (30/365)           Rs.   2,979.45
2025-10-01 to 2025-11-01       31   5,00,000 x 0.0725 x (31/365)           Rs.   3,078.77
2025-11-01 to 2025-12-01       30   5,00,000 x 0.0725 x (30/365)           Rs.   2,979.45
2025-12-01 to 2026-01-01       31   5,00,000 x 0.0725 x (31/365)           Rs.   3,078.77
2026-01-01 to 2026-02-01       31   5,00,000 x 0.0725 x (31/365)           Rs.   3,078.77
2026-02-01 to 2026-03-01       28   5,00,000 x 0.0725 x (28/365)           Rs.   2,780.82
Final Accurate Payout Summary
-----------------------------------------------------
Component                                    Amount
-----------------------------------------------------
Total monthly payouts credited             Rs. 36,250.00
-----------------------------------------------------
Total Interest on maturity                   Rs. 36,250.00
-----------------------------------------------------
You will receive 12 monthly credits during the FD period, with a total interest of Rs. 36,250.00.</t>
  </si>
  <si>
    <t>FD booking period: Between Feb 12, 2024 - Nov 11, 2024
Tenure: 6 months (183 days)
Principal (P): Rs. 2,00,000
Rate: 6.95% p.a. (regular citizen)
Type: Monthly payout FD
Period Schedule:
Period 1: 31 Oct 2024 -&gt; 30 Nov 2024 (30 days, rolling_year=365) 
Interest = 2,00,000 x 0.0695 x (30 / 365) 
Interest = Rs. 1,142.47
Period 2: 30 Nov 2024 -&gt; 31 Dec 2024 (31 days, rolling_year=365) 
Interest = 2,00,000 x 0.0695 x (31 / 365) 
Interest = Rs. 1,180.55
Period 3: 31 Dec 2024 -&gt; 31 Jan 2025 (31 days, rolling_year=365) 
Interest = 2,00,000 x 0.0695 x (31 / 365) 
Interest = Rs. 1,180.55
Period 4: 31 Jan 2025 -&gt; 28 Feb 2025 (28 days, rolling_year=365) 
Interest = 2,00,000 x 0.0695 x (28 / 365) 
Interest = Rs. 1,066.30
Period 5: 28 Feb 2025 -&gt; 31 Mar 2025 (31 days, rolling_year=365) 
Interest = 2,00,000 x 0.0695 x (31 / 365) 
Interest = Rs. 1,180.55
Period 6: 31 Mar 2025 -&gt; 30 Apr 2025 (30 days, rolling_year=365) 
Interest = 2,00,000 x 0.0695 x (30 / 365) 
Interest = Rs. 1,142.47
Period 7: 30 Apr 2025 -&gt; 02 May 2025 (2 days, rolling_year=365) 
Interest = 2,00,000 x 0.0695 x (2 / 365) 
Interest = Rs. 76.16
Monthly Payout Schedule:
1. 30 Nov 2024: Rs. 1,142.47
2. 31 Dec 2024: Rs. 1,180.55
3. 31 Jan 2025: Rs. 1,180.55
4. 28 Feb 2025: Rs. 1,066.30
5. 31 Mar 2025: Rs. 1,180.55
6. 30 Apr 2025: Rs. 1,142.47
Total Gross Interest: Rs. 6,969.04</t>
  </si>
  <si>
    <t>FD booking period: Between Oct 12, 2024 - Apr 30, 2025 
# â†‘ This comes from "Rate Source" in FD DETAILS. Format: "Rate card: 12-Oct-2024 to 14-Jun-2025" â†’ "Between Oct 12, 2024 - Jun 14, 2025"
Tenure: 6 months (181 days) 
Principal (P): Rs. 2,00,000
Start date: 31 October 2024
Maturity: 30 April 2025
Rate: 7.00% p.a. (regular citizen)
Type: Monthly payout FD
Monthly payout FD -&gt; exact days per month
Period                          Days  Calculation                          Interest
31 Oct 2024 -&gt; 30 Nov 2024       30   2,00,000 x 0.07 x (30/365)           Rs. 1,150.68
30 Nov 2024 -&gt; 31 Dec 2024       31   2,00,000 x 0.07 x (31/365)           Rs. 1,189.04
31 Dec 2024 -&gt; 31 Jan 2025       31   2,00,000 x 0.07 x (31/365)           Rs. 1,189.04
31 Jan 2025 -&gt; 28 Feb 2025       28   2,00,000 x 0.07 x (28/365)           Rs. 1,073.97
28 Feb 2025 -&gt; 31 Mar 2025       31   2,00,000 x 0.07 x (31/365)           Rs. 1,189.04
31 Mar 2025 -&gt; 30 Apr 2025       30   2,00,000 x 0.07 x (30/365)           Rs. 1,150.68
Final Accurate Payout Summary
-----------------------------------------------------
Component                                    Amount
-----------------------------------------------------
Total monthly payouts credited             Rs. 6,942.47
-----------------------------------------------------
Total Interest on maturity                   Rs. 6,942.47
-----------------------------------------------------
You will receive 6 monthly credits during the FD period. 
Your total earnings over the 6-month tenure will be Rs. 6,942.47.</t>
  </si>
  <si>
    <t>FD booking period: Between Feb 12, 2024 - Nov 11, 2024
Tenure: 1 year -&gt; 7.55% (regular citizen)
Monthly payout FD -&gt; exact days per month
Rolling year days: 365
Interest for 12th month = Principal x Rate x (Days / Year)
Interest for 12th month = 1,00,000 x 0.0755 x (30 / 365)
Interest for 12th month = Rs. 620.55
Approx. Rs. 620.55 credited at end of 12th month
ðŸ“Œ Note: This calculation is based on the current interest rate of 7.55% p.a.
Since your FD booking date (2024-02-29) is in the past, the applicable rate at that time was used.</t>
  </si>
  <si>
    <t>FD booking period: Between Feb 29, 2024 - Feb 28, 2025
Tenure: 1 year -&gt; 7.55% (regular citizen)
Monthly payout FD -&gt; exact days per month
Rolling year days: 365
Interest for 12th month = Principal x Rate x (Days / Year)
Interest for 12th month = 1,00,000 x 0.0755 x (30 / 365)
Interest for 12th month = Rs. 620.55
Approx. Rs. 620.55 credited at end of 12th month
ðŸ“Œ Note: This calculation is based on the current interest rate of 7.55% p.a. 
Since your FD booking date (2024-02-29) is in the past, the applicable rate was locked at the time of booking.</t>
  </si>
  <si>
    <t>FD booking period: Between Jan 01, 2000 - Feb 11, 2024
Principal (P): Rs. 3,00,000
Start date: 30 November 2023
Maturity: 30 August 2024
Senior citizen rate: 8.7% p.a.
Type: Monthly payout FD
Interest calculation: Exact day count per month
Period Schedule:
| Period | Days | Calculation | Interest |
| --- | --- | --- | --- |
| 30 Nov 2023 -&gt; 30 Dec 2023 | 30 | 3,00,000 x 0.087 x (30/366) | Rs. 2,139.34 |
| 30 Dec 2023 -&gt; 30 Jan 2024 | 31 | 3,00,000 x 0.087 x (31/366) | Rs. 2,210.66 |
| 30 Jan 2024 -&gt; 29 Feb 2024 | 30 | 3,00,000 x 0.087 x (30/366) | Rs. 2,139.34 |
| 29 Feb 2024 -&gt; 30 Mar 2024 | 30 | 3,00,000 x 0.087 x (30/365) | Rs. 2,145.21 |
| 30 Mar 2024 -&gt; 30 Apr 2024 | 31 | 3,00,000 x 0.087 x (31/365) | Rs. 2,216.71 |
| 30 Apr 2024 -&gt; 30 May 2024 | 30 | 3,00,000 x 0.087 x (30/365) | Rs. 2,145.21 |
| 30 May 2024 -&gt; 30 Jun 2024 | 31 | 3,00,000 x 0.087 x (31/365) | Rs. 2,216.71 |
| 30 Jun 2024 -&gt; 30 Jul 2024 | 30 | 3,00,000 x 0.087 x (30/365) | Rs. 2,145.21 |
| 30 Jul 2024 -&gt; 30 Aug 2024 | 31 | 3,00,000 x 0.087 x (31/365) | Rs. 2,216.71 |
Total Interest on maturity: Rs. 19,575.10
You will receive 9 monthly credits during the FD period, with a total interest of Rs. 19,575.10.</t>
  </si>
  <si>
    <t>FD booking period: Between Jan 01, 2000 - Feb 11, 2024
Principal (P): Rs. 3,00,000
Start date: 30 November 2023
Maturity: 30 August 2024
Senior citizen rate: 8.7% p.a.
Type: Monthly payout FD
Interest calculation: Exact day count per month
### Monthly Payout Schedule
| Period | Days | Calculation | Interest |
| --- | --- | --- | --- |
| 30 Nov 2023 -&gt; 30 Dec 2023 | 30 | 3,00,000 x 0.087 x (30/365) | Rs. 2,145.21 |
| 30 Dec 2023 -&gt; 30 Jan 2024 | 31 | 3,00,000 x 0.087 x (31/365) | Rs. 2,216.71 |
| 30 Jan 2024 -&gt; 29 Feb 2024 | 30 | 3,00,000 x 0.087 x (30/365) | Rs. 2,145.21 |
| 29 Feb 2024 -&gt; 30 Mar 2024 | 30 | 3,00,000 x 0.087 x (30/365) | Rs. 2,145.21 |
| 30 Mar 2024 -&gt; 30 Apr 2024 | 31 | 3,00,000 x 0.087 x (31/365) | Rs. 2,216.71 |
| 30 Apr 2024 -&gt; 30 May 2024 | 30 | 3,00,000 x 0.087 x (30/365) | Rs. 2,145.21 |
| 30 May 2024 -&gt; 30 Jun 2024 | 31 | 3,00,000 x 0.087 x (31/365) | Rs. 2,216.71 |
| 30 Jun 2024 -&gt; 30 Jul 2024 | 30 | 3,00,000 x 0.087 x (30/365) | Rs. 2,145.21 |
| 30 Jul 2024 -&gt; 30 Aug 2024 | 31 | 3,00,000 x 0.087 x (31/365) | Rs. 2,216.71 |
### Final Accurate Payout Summary
| Component | Amount |
| --- | --- |
| Total Monthly Payouts | Rs. 19,592.88 |
You will receive 9 monthly credits during the FD period, with a total interest of Rs. 19,592.88.</t>
  </si>
  <si>
    <t>FD Type: Monthly Payout FD
Principal: Rs. 3,00,000
Rate: 8.7% p.a. (senior citizen)
Tenure: 9 months (274 days)
Booking period: Between Nov 30, 2023 - Aug 30, 2024
Monthly payout FD schedule:
Period                          Days  Calculation                          Interest
30 Nov 2023 -&gt; 30 Dec 2023       30   3,00,000 x 0.087 x (30/366)           Rs.   2,139.34
30 Dec 2023 -&gt; 30 Jan 2024       31   3,00,000 x 0.087 x (31/366)           Rs.   2,210.66
30 Jan 2024 -&gt; 29 Feb 2024       30   3,00,000 x 0.087 x (30/366)           Rs.   2,139.34
29 Feb 2024 -&gt; 30 Mar 2024       30   3,00,000 x 0.087 x (30/365)           Rs.   2,145.21
30 Mar 2024 -&gt; 30 Apr 2024       31   3,00,000 x 0.087 x (31/365)           Rs.   2,216.71
30 Apr 2024 -&gt; 30 May 2024       30   3,00,000 x 0.087 x (30/365)           Rs.   2,145.21
30 May 2024 -&gt; 30 Jun 2024       31   3,00,000 x 0.087 x (31/365)           Rs.   2,216.71
30 Jun 2024 -&gt; 30 Jul 2024       30   3,00,000 x 0.087 x (30/365)           Rs.   2,145.21
30 Jul 2024 -&gt; 30 Aug 2024       31   3,00,000 x 0.087 x (31/365)           Rs.   2,216.71
Final Accurate Payout Summary
-----------------------------------------------------
Component                                    Amount
-----------------------------------------------------
Total monthly payouts credited             Rs. 19,575.10
-----------------------------------------------------
Total Interest on maturity                   Rs. 19,575.10
-----------------------------------------------------
You will receive 9 monthly credits during the FD period, with a total interest of Rs. 19,575.10.</t>
  </si>
  <si>
    <t>FD booking period: Between Nov 12, 2024 - Jun 14, 2025
Tenure: 1 to &lt;2 years -&gt; 6.75% (regular citizen)
Monthly payout FD -&gt; exact days per month
Rolling year days: 365
Interest for Month 6 (2025-11-05 to 2025-12-05):
Interest = Principal x Rate x (Days / Year)
Interest = 1,50,000 x 0.0675 x (30 / 365)
Interest = Rs. 832.19
Approx. Rs. 832.19 credited at end of Month 6</t>
  </si>
  <si>
    <t>FD booking period: Between Jun 5, 2025 - Dec 5, 2026
Tenure: 18 months
Payout type: Monthly payout FD
Rate: 6.75% p.a. (regular citizen)
Requested period: Month 6
Period 6: 2025-11-05 to 2025-12-05 (30 days, rolling_year=365)
Calculation:
Interest = Principal x Rate x (Days / Year)
Interest = 1,50,000 x 0.0675 x (30 / 365)
Interest = Rs. 832.19
You will receive Rs. 832.19 at the end of month 6.</t>
  </si>
  <si>
    <t>FD booking period: Between Jun 15, 2025 - Dec 31, 2099
Tenure: 6 months
Principal (P): Rs. 50,000
Rate: 5.65% p.a. (regular citizen)
Type: Monthly payout FD
ðŸ“Œ Note: This calculation is based on the current interest rate of 5.65% p.a. Since your FD booking date (August 15, 2025) is in the future, the applicable rate may change before then. Please recheck the rate card at the time of actual booking.
Monthly payout FD -&gt; exact days per month
Period Schedule:
Period 1: 2025-08-15 to 2025-09-15 (31 days, rolling_year=365)
Interest = 50,000 x 0.0565 x (31 / 365)
Interest = Rs. 239.93
Period 2: 2025-09-15 to 2025-10-15 (30 days, rolling_year=365)
Interest = 50,000 x 0.0565 x (30 / 365)
Interest = Rs. 232.19
Period 3: 2025-10-15 to 2025-11-15 (31 days, rolling_year=365)
Interest = 50,000 x 0.0565 x (31 / 365)
Interest = Rs. 239.93
Period 4: 2025-11-15 to 2025-12-15 (30 days, rolling_year=365)
Interest = 50,000 x 0.0565 x (30 / 365)
Interest = Rs. 232.19
Period 5: 2025-12-15 to 2026-01-15 (31 days, rolling_year=365)
Interest = 50,000 x 0.0565 x (31 / 365)
Interest = Rs. 239.93
Period 6: 2026-01-15 to 2026-02-14 (30 days, rolling_year=365)
Interest = 50,000 x 0.0565 x (30 / 365)
Interest = Rs. 232.19
You will receive the following monthly credits:
Month 1 (Aug 15 -&gt; Sep 15):   Rs. 239.93
Month 2 (Sep 15 -&gt; Oct 15):  Rs. 232.19
Month 3 (Oct 15 -&gt; Nov 15):  Rs. 239.93
Month 4 (Nov 15 -&gt; Dec 15):  Rs. 232.19
Month 5 (Dec 15 -&gt; Jan 15):  Rs. 239.93
Month 6 (Jan 15 -&gt; Feb 14):  Rs. 232.19
Your total earnings over the 6-month tenure will be Rs. 1,416.37.</t>
  </si>
  <si>
    <t>FD booking period: Between Aug 12, 2025 - Feb 14, 2026
Tenure: 6 months -&gt; 5.9% (regular citizen)
Monthly payout FD -&gt; exact days per month
Here are the calculations for each month:
Period 1: 15 Aug 2025 -&gt; 15 Sep 2025 (31 days, rolling_year=365)
Interest = 50,000 x 0.059 x (31 / 365)
Interest = Rs. 250.55
Period 2: 15 Sep 2025 -&gt; 15 Oct 2025 (30 days, rolling_year=365)
Interest = 50,000 x 0.059 x (30 / 365)
Interest = Rs. 242.47
Period 3: 15 Oct 2025 -&gt; 15 Nov 2025 (31 days, rolling_year=365)
Interest = 50,000 x 0.059 x (31 / 365)
Interest = Rs. 250.55
Period 4: 15 Nov 2025 -&gt; 15 Dec 2025 (30 days, rolling_year=365)
Interest = 50,000 x 0.059 x (30 / 365)
Interest = Rs. 242.47
Period 5: 15 Dec 2025 -&gt; 15 Jan 2026 (31 days, rolling_year=365)
Interest = 50,000 x 0.059 x (31 / 365)
Interest = Rs. 250.55
Period 6: 15 Jan 2026 -&gt; 15 Feb 2026 (31 days, rolling_year=365)
Interest = 50,000 x 0.059 x (31 / 365)
Interest = Rs. 250.55
You will receive the following monthly credits:
Month 1 (Aug 15 -&gt; Sep 15): Rs. 250.55
Month 2 (Sep 15 -&gt; Oct 15): Rs. 242.47
Month 3 (Oct 15 -&gt; Nov 15): Rs. 250.55
Month 4 (Nov 15 -&gt; Dec 15): Rs. 242.47
Month 5 (Dec 15 -&gt; Jan 15): Rs. 250.55
Month 6 (Jan 15 -&gt; Feb 15): Rs. 250.55
Your total earnings over the 6-month tenure will be Rs. 1,487.12.</t>
  </si>
  <si>
    <t>FD booking period: Between Nov 12, 2024 - Jun 14, 2025
Tenure: 2 years
Principal (P): Rs. 3,50,00,000
Rate: 7.2% p.a. (senior citizen)
Type: Monthly payout FD
Since the tenure is 2 years and the citizen type is senior citizen, the rate is 7.2% p.a.
The FD has a monthly payout structure. 
Here's the calculation for each month:
Period 1: 2025-01-01 to 2025-02-01 (31 days) 
Interest = 3,50,00,000 x 0.072 x (31/365) 
Interest = Rs. 2,14,027.40
This process will repeat for 24 months.
Monthly Interest Payout (Gross): 
The monthly payout will be as follows:
| Period | Days | Calculation | Interest |
| --- | --- | --- | --- |
| 2025-01-01 to 2025-02-01 | 31 | 3,50,00,000 x 0.072 x (31/365) | Rs. 2,14,027.40 |
| 2025-02-01 to 2025-03-01 | 28 | 3,50,00,000 x 0.072 x (28/365) | Rs. 1,93,315.07 |
| 2025-03-01 to 2025-04-01 | 31 | 3,50,00,000 x 0.072 x (31/365) | Rs. 2,14,027.40 |
| 2025-04-01 to 2025-05-01 | 30 | 3,50,00,000 x 0.072 x (30/365) | Rs. 2,07,123.29 |
| 2025-05-01 to 2025-06-01 | 31 | 3,50,00,000 x 0.072 x (31/365) | Rs. 2,14,027.40 |
| 2025-06-01 to 2025-07-01 | 30 | 3,50,00,000 x 0.072 x (30/365) | Rs. 2,07,123.29 |
| 2025-07-01 to 2025-08-01 | 31 | 3,50,00,000 x 0.072 x (31/365) | Rs. 2,14,027.40 |
| 2025-08-01 to 2025-09-01 | 31 | 3,50,00,000 x 0.072 x (31/365) | Rs. 2,14,027.40 |
| 2025-09-01 to 2025-10-01 | 30 | 3,50,00,000 x 0.072 x (30/365) | Rs. 2,07,123.29 |
| 2025-10-01 to 2025-11-01 | 31 | 3,50,00,000 x 0.072 x (31/365) | Rs. 2,14,027.40 |
| 2025-11-01 to 2025-12-01 | 30 | 3,50,00,000 x 0.072 x (30/365) | Rs. 2,07,123.29 |
| 2025-12-01 to 2026-01-01 | 31 | 3,50,00,000 x 0.072 x (31/365) | Rs. 2,14,027.40 |
| 2026-01-01 to 2026-02-01 | 31 | 3,50,00,000 x 0.072 x (31/365) | Rs. 2,14,027.40 |
| 2026-02-01 to 2026-03-01 | 28 | 3,50,00,000 x 0.072 x (28/365) | Rs. 1,93,315.07 |
| 2026-03-01 to 2026-04-01 | 31 | 3,50,00,000 x 0.072 x (31/365) | Rs. 2,14,027.40 |
| 2026-04-01 to 2026-05-01 | 30 | 3,50,00,000 x 0.072 x (30/365) | Rs. 2,07,123.29 |
| 2026-05-01 to 2026-06-01 | 31 | 3,50,00,000 x 0.072 x (31/365) | Rs. 2,14,027.40 |
| 2026-06-01 to 2026-07-01 | 30 | 3,50,00,000 x 0.072 x (30/365) | Rs. 2,07,123.29 |
| 2026-07-01 to 2026-08-01 | 31 | 3,50,00,000 x 0.072 x (31/365) | Rs. 2,14,027.40 |
| 2026-08-01 to 2026-09-01 | 31 | 3,50,00,000 x 0.072 x (31/365) | Rs. 2,14,027.40 |
| 2026-09-01 to 2026-10-01 | 30 | 3,50,00,000 x 0.072 x (30/365) | Rs. 2,07,123.29 |
| 2026-10-01 to 2026-11-01 | 31 | 3,50,00,000 x 0.072 x (31/365) | Rs. 2,14,027.40 |
| 2026-11-01 to 2026-12-01 | 30 | 3,50,00,000 x 0.072 x (30/365) | Rs. 2,07,123.29 |
| 2026-12-01 to 2027-01-01 | 31 | 3,50,00,000 x 0.072 x (31/365) | Rs. 2,14,027.40 |
You will receive a monthly credit of approximately Rs. 2,14,027.40 for 23 months and Rs. 1,93,315.07 for 1 month. 
The Gross Total Interest earned over the 2-year tenure will be Rs. 50,40,000.</t>
  </si>
  <si>
    <t>FD booking period: Between Dec 12, 2024 - Jun 14, 2025
Tenure: 2 years
Principal (P): Rs. 3,50,00,000
Rate: 7.2% p.a. (senior citizen)
Type: Monthly payout FD
Monthly payout calculation:
Period 1: 2025-01-01 to 2025-02-01 (31 days, rolling_year=365)
Interest = 3,50,00,000 x 0.072 x (31 / 365) 
Interest = Rs. 2,14,027.40
Since the calculation results provide a detailed breakdown for each period, we will show the interest for the first few periods:
Period 1: 2025-01-01 to 2025-02-01 
- Days: 31
- Calculation: 3,50,00,000 x 0.072 x (31/365) 
- Interest: Rs. 2,14,027.40
Period 2: 2025-02-01 to 2025-03-01 
- Days: 28
- Calculation: 3,50,00,000 x 0.072 x (28/365) 
- Interest: Rs. 1,93,315.07
Period 3: 2025-03-01 to 2025-04-01 
- Days: 31
- Calculation: 3,50,00,000 x 0.072 x (31/365) 
- Interest: Rs. 2,14,027.40
To provide a comprehensive view, we will summarize the interest payouts:
You will receive monthly interest payouts. The interest amounts vary slightly due to the number of days in each month.
For the first 3 months, the interest payouts are:
- January 2025: Rs. 2,14,027.40
- February 2025: Rs. 1,93,315.07
- March 2025: Rs. 2,14,027.40
Please note that the actual payout schedule will have 24 monthly payouts. The interest for each month will be calculated based on the actual number of days in that month and the outstanding principal amount. 
The total interest earned over the 2-year tenure is Rs. 50,40,000.</t>
  </si>
  <si>
    <t>FD booking period: Between Jun 15, 2025 - Dec 31, 2099
Tenure: 400 days
Principal (P): Rs. 75,000
Rate: 6.25% p.a. (regular citizen)
Type: Monthly payout FD
Maturity Date: 25 July 2026
You will receive 13 monthly payouts during the FD period, followed by a final partial payout at maturity.
Here is the breakdown:
Period                          Days  Calculation                          Interest
20 Jun 2025 -&gt; 20 Jul 2025       30   75,000 x 0.0625 x (30/365)           Rs.   385.27
20 Jul 2025 -&gt; 20 Aug 2025       31   75,000 x 0.0625 x (31/365)           Rs.   398.12
20 Aug 2025 -&gt; 20 Sep 2025       31   75,000 x 0.0625 x (31/365)           Rs.   398.12
20 Sep 2025 -&gt; 20 Oct 2025       30   75,000 x 0.0625 x (30/365)           Rs.   385.27
20 Oct 2025 -&gt; 20 Nov 2025       31   75,000 x 0.0625 x (31/365)           Rs.   398.12
20 Nov 2025 -&gt; 20 Dec 2025       30   75,000 x 0.0625 x (30/365)           Rs.   385.27
20 Dec 2025 -&gt; 20 Jan 2026       31   75,000 x 0.0625 x (31/365)           Rs.   398.12
20 Jan 2026 -&gt; 20 Feb 2026       31   75,000 x 0.0625 x (31/365)           Rs.   398.12
20 Feb 2026 -&gt; 20 Mar 2026       28   75,000 x 0.0625 x (28/365)           Rs.   359.59
20 Mar 2026 -&gt; 20 Apr 2026       31   75,000 x 0.0625 x (31/365)           Rs.   398.12
20 Apr 2026 -&gt; 20 May 2026       30   75,000 x 0.0625 x (30/365)           Rs.   385.27
20 May 2026 -&gt; 20 Jun 2026       31   75,000 x 0.0625 x (31/365)           Rs.   398.12
20 Jun 2026 -&gt; 20 Jul 2026       30   75,000 x 0.0625 x (30/365)           Rs.   385.27
20 Jul 2026 -&gt; 25 Jul 2026       5    75,000 x 0.0625 x (5/365)            Rs.    64.21
Final Accurate Payout Summary
-----------------------------------------------------
Component                                    Amount
-----------------------------------------------------
Total monthly payouts credited             Rs. 4,972.78
Final partial payout at maturity (5 days)   Rs.    64.21
-----------------------------------------------------
Total Interest on maturity                   Rs. 5,036.99 â‰ˆ Rs. 5,136.99
You will receive 13 monthly credits during the FD period, followed by a final partial interest payout at maturity.
Your total earnings over the 400-day tenure will be approximately Rs. 5,136.99.</t>
  </si>
  <si>
    <t>FD Details:
- Principal: Rs. 75,000
- Rate: 6.6% p.a.
- Tenure: 400 days
- Booking Date: 20 June 2025
- Maturity Date: 25 July 2026
- Type: monthly_payout
- Citizenship: regular citizen
âš ï¸ Rate Correction: You didn't mention the interest rate, but the applicable rate for your FD (400 days, regular citizen, booked on 20 June 2025) is 6.6% p.a. as per the rate card.
## Calculation
The FD will have 13 monthly payouts and a final partial payout.
### Monthly Payouts
| Period | Days | Calculation | Interest |
| --- | --- | --- | --- |
| 20 Jun 2025 -&gt; 20 Jul 2025 | 30 | 75,000 x 0.066 x (30/365) | Rs. 406.85 |
| 20 Jul 2025 -&gt; 20 Aug 2025 | 31 | 75,000 x 0.066 x (31/365) | Rs. 420.41 |
| 20 Aug 2025 -&gt; 20 Sep 2025 | 31 | 75,000 x 0.066 x (31/365) | Rs. 420.41 |
| 20 Sep 2025 -&gt; 20 Oct 2025 | 30 | 75,000 x 0.066 x (30/365) | Rs. 406.85 |
| 20 Oct 2025 -&gt; 20 Nov 2025 | 31 | 75,000 x 0.066 x (31/365) | Rs. 420.41 |
| 20 Nov 2025 -&gt; 20 Dec 2025 | 30 | 75,000 x 0.066 x (30/365) | Rs. 406.85 |
| 20 Dec 2025 -&gt; 20 Jan 2026 | 31 | 75,000 x 0.066 x (31/365) | Rs. 420.41 |
| 20 Jan 2026 -&gt; 20 Feb 2026 | 31 | 75,000 x 0.066 x (31/365) | Rs. 420.41 |
| 20 Feb 2026 -&gt; 20 Mar 2026 | 28 | 75,000 x 0.066 x (28/365) | Rs. 379.73 |
| 20 Mar 2026 -&gt; 20 Apr 2026 | 31 | 75,000 x 0.066 x (31/365) | Rs. 420.41 |
| 20 Apr 2026 -&gt; 20 May 2026 | 30 | 75,000 x 0.066 x (30/365) | Rs. 406.85 |
| 20 May 2026 -&gt; 20 Jun 2026 | 31 | 75,000 x 0.066 x (31/365) | Rs. 420.41 |
| 20 Jun 2026 -&gt; 20 Jul 2026 | 30 | 75,000 x 0.066 x (30/365) | Rs. 406.85 |
### Final Partial Payout
| Period | Days | Calculation | Interest |
| --- | --- | --- | --- |
| 20 Jul 2026 -&gt; 25 Jul 2026 | 5 | 75,000 x 0.066 x (5/365) | Rs. 67.81 |
## Total Interest
Total Interest = Rs. 5,424.66
## Payout Summary
You will receive 13 monthly payouts and a final partial payout.
The total interest earned over the 400-day tenure will be Rs. 5,424.66.</t>
  </si>
  <si>
    <t>FD booking period: Between Nov 12, 2024 - Jun 14, 2025
Tenure: 1 to &lt;2 years -&gt; 7.45% (senior citizen)
Monthly payout FD -&gt; exact days per month
Rolling year days: 365
Interest = Principal x Rate x (Days / Year)
Interest = 2,25,000 x 0.0745 x (28 / 365)
Interest = Rs. 1,285.89
Approx. Rs. 1,285.89 credited at end of first month
Your very first monthly credit will be Rs. 1,285.89.</t>
  </si>
  <si>
    <t>FD booking period: Between Feb 12, 2025 - Feb 14, 2027 
# â†‘ This comes from "Rate Source" in FD DETAILS. Format: "Rate card: 12-Feb-2025 to 14-Feb-2027" â†’ "Between Feb 12, 2025 - Feb 14, 2027"
Tenure: 2 years -&gt; 7.45% (senior citizen)
Monthly payout FD -&gt; exact days per month
Rolling year days: 365
Interest = Principal x Rate x (Days / Year)
Interest = 2,25,000 x 0.0745 x (28 / 365)
Interest = Rs. 1,285.89
Approx. Rs. 1,285.89 credited at end of first month
Your very first monthly credit will be Rs. 1,285.89.</t>
  </si>
  <si>
    <t>FD booking period: Between Nov 12, 2024 - Jun 14, 2025
Tenure: 1 year -&gt; 6.75% (regular citizen)
Monthly payout FD -&gt; exact days per month
Rolling year days: 365
Interest for the last monthly payout (Period 12):
Period: 2026-03-01 to 2026-04-01 (31 days)
Calculation:
Interest = Principal x Rate x (Days / Year)
Interest = 1,00,000 x 0.0675 x (31 / 365)
Interest = Rs. 573.29
You will receive Rs. 573.29 in the very last monthly payout.</t>
  </si>
  <si>
    <t>FD booking period: Between Mar 22, 2025 - Apr 1, 2026
# â†‘ This comes from "Rate Source" in FD DETAILS. Format: "Rate card: 12-Nov-2024 to 14-Jun-2025" â†’ "Between Nov 12, 2024 - Jun 14, 2025"
Tenure: 1 to &lt;2 years -&gt; 6.75% (regular citizen)
Monthly payout FD -&gt; exact days per month
Rolling year days: 365
Interest = Principal x Rate x (Days / Year)
For the last period: 2026-03-01 to 2026-04-01 (31 days)
Calculation:
Interest = 1,00,000 x 0.0675 x (31 / 365)
Interest = Rs. 573.29
Approx. Rs. 573.29 credited at end of last month.
The final monthly payout you will receive is Rs. 573.29.</t>
  </si>
  <si>
    <t>FD booking period: Between Nov 12, 2024 - Jun 14, 2025
Principal (P): Rs. 3,00,000
Start date: 1 January 2025
Maturity: 1 January 2027
Senior citizen rate: 7.45% p.a.
Type: Half-yearly payout FD
Interest calculation: Exact day count per half-year
Period                          Days  Calculation                          Interest
1 Jan 2025 -&gt; 1 Jul 2025       181   3,00,000 x 0.0745 x (181/365)       Rs. 11,083.15
1 Jul 2025 -&gt; 1 Jan 2026       184   3,00,000 x 0.0745 x (184/365)       Rs. 11,266.85
1 Jan 2026 -&gt; 1 Jul 2026       181   3,00,000 x 0.0745 x (181/365)       Rs. 11,083.15
1 Jul 2026 -&gt; 1 Jan 2027       184   3,00,000 x 0.0745 x (184/365)       Rs. 11,266.85
Final Accurate Payout Summary
-----------------------------------------------------
Component                                    Amount
-----------------------------------------------------
Total half-yearly payouts credited             Rs. 44,700
-----------------------------------------------------
Total Interest on maturity                   Rs. 44,700
-----------------------------------------------------
You will receive 4 half-yearly credits during the FD period.
Your total earnings over the 2-year tenure will be Rs. 44,700.</t>
  </si>
  <si>
    <t>FD Type: Half-Yearly Payout FD
Principal: Rs. 3,00,000
Rate: 7.45% p.a. (senior citizen)
Tenure: 2 years
FD booking period: Not provided (not required for this query)
Maturity date: 1 January 2027
Half-Yearly payout schedule:
Period                          Days  Calculation                          Interest
2025-01-01 to 2025-07-01       181   3,00,000 x 0.0745 x (181/365)           Rs. 11,083.15
2025-07-01 to 2026-01-01       184   3,00,000 x 0.0745 x (184/365)           Rs. 11,266.85
2026-01-01 to 2026-07-01       181   3,00,000 x 0.0745 x (181/365)           Rs. 11,083.15
2026-07-01 to 2027-01-01       184   3,00,000 x 0.0745 x (184/365)           Rs. 11,266.85
Final Accurate Payout Summary
-----------------------------------------------------
Component                                    Amount
-----------------------------------------------------
Total half-yearly payouts credited             Rs. 44,700
-----------------------------------------------------
Total Interest on maturity                   Rs. 44,700
-----------------------------------------------------
You will receive 4 half-yearly credits during the FD period. 
Your total earnings over the 2-year tenure will be Rs. 44,700.</t>
  </si>
  <si>
    <t>FD booking period: Between Feb 12, 2024 - Nov 11, 2024
Principal (P): Rs. 2,00,000
Start date: 31 August 2024
Maturity: 548 days later -&gt; 2 March 2026
Rate: 7.55% p.a. (regular citizen)
Type: Half-yearly payout FD
Payout Schedule:
Period                          Days  Calculation                          Interest
31 Aug 2024 -&gt; 28 Feb 2025       181   2,00,000 x 0.0755 x (181/365)           Rs. 7,487.95
28 Feb 2025 -&gt; 31 Aug 2025       184   2,00,000 x 0.0755 x (184/365)           Rs. 7,612.05
31 Aug 2025 -&gt; 28 Feb 2026       181   2,00,000 x 0.0755 x (181/365)           Rs. 7,487.95
28 Feb 2026 -&gt; 2 Mar 2026         2   2,00,000 x 0.0755 x (2/365)             Rs.   82.74
Final Accurate Payout Summary
-----------------------------------------------------
Component                                    Amount
-----------------------------------------------------
Total half-yearly payouts credited             Rs. 22,587.94
Final partial payout at maturity (2 days)   Rs.   82.74
-----------------------------------------------------
Total Interest on maturity                   Rs. 22,670.68
-----------------------------------------------------
You will receive 3 half-yearly credits during the FD period, followed by a final partial interest payout at maturity.
Your total earnings over the 18-month tenure will be Rs. 22,670.68.</t>
  </si>
  <si>
    <t>FD booking period: Between Aug 31, 2024 - Feb 28, 2026
Tenure: 18 months -&gt; 546 days
Principal (P): Rs. 2,00,000
Rate: 7.55% p.a. (regular citizen)
Type: Half-yearly payout FD
Period Schedule:
Period 1: 2024-08-31 to 2025-02-28 (181 days, rolling_year=365)
Interest = 2,00,000 x 0.0755 x (181 / 365)
Interest = Rs. 7,487.95
Period 2: 2025-02-28 to 2025-08-31 (184 days, rolling_year=365)
Interest = 2,00,000 x 0.0755 x (184 / 365)
Interest = Rs. 7,612.05
Period 3: 2025-08-31 to 2026-02-28 (181 days, rolling_year=365)
Interest = 2,00,000 x 0.0755 x (181 / 365)
Interest = Rs. 7,487.95
Payout Schedule:
-------------------
Period  |  Dates  |  Days  |  Interest
---------|---------|--------|-----------
1  | 31 Aug 2024 -&gt; 28 Feb 2025 | 181  |  Rs. 7,487.95
2  | 28 Feb 2025 -&gt; 31 Aug 2025 | 184  |  Rs. 7,612.05
3  | 31 Aug 2025 -&gt; 28 Feb 2026 | 181  |  Rs. 7,487.95
Total Interest on maturity: Rs. 22,587.95
You will receive 3 half-yearly interest payouts during the FD period.
Your total earnings over the 18-month tenure will be Rs. 22,587.95.</t>
  </si>
  <si>
    <t>FD booking period: Between Nov 12, 2024 - Jun 14, 2025
Tenure: 3 years
Principal (P): Rs. 4,00,000
Rate: 6.8% p.a. (regular citizen)
Type: Biannual interest payout FD
Period Schedule:
Period 1: 15 Mar 2025 to 15 Sep 2025 (184 days, rolling_year=365)
Interest = 4,00,000 x 0.068 x (184 / 365)
Interest = Rs. 13,711.78
Period 2: 15 Sep 2025 to 15 Mar 2026 (181 days, rolling_year=365)
Interest = 4,00,000 x 0.068 x (181 / 365)
Interest = Rs. 13,488.22
Period 3: 15 Mar 2026 to 15 Sep 2026 (184 days, rolling_year=365)
Interest = 4,00,000 x 0.068 x (184 / 365)
Interest = Rs. 13,711.78
Period 4: 15 Sep 2026 to 15 Mar 2027 (181 days, rolling_year=365)
Interest = 4,00,000 x 0.068 x (181 / 365)
Interest = Rs. 13,488.22
Period 5: 15 Mar 2027 to 15 Sep 2027 (184 days, rolling_year=366)
Interest = 4,00,000 x 0.068 x (184 / 366)
Interest = Rs. 13,674.32
Period 6: 15 Sep 2027 to 14 Mar 2028 (181 days, rolling_year=366)
Interest = 4,00,000 x 0.068 x (181 / 366)
Interest = Rs. 13,451.37
Biannual Payout Summary:
-------------------------
You will receive 6 payouts during the FD period.
Payout Schedule:
 Period  |  Days  |  Interest
-----------|---------|-----------
 1  |  184  |  Rs. 13,711.78
 2  |  181  |  Rs. 13,488.22
 3  |  184  |  Rs. 13,711.78
 4  |  181  |  Rs. 13,488.22
 5  |  184  |  Rs. 13,674.32
 6  |  181  |  Rs. 13,451.37
Total Interest on maturity: Rs. 81,525.68
Your total earnings over the 3-year tenure will be Rs. 81,525.68.</t>
  </si>
  <si>
    <t>FD booking period: Between Nov 12, 2024 - Jun 14, 2025
Tenure: 3 years
Principal (P): Rs. 4,00,000
Rate: 6.8% p.a. (regular citizen)
Type: Bi-annual interest payout FD
Period Schedule:
Period 1: 15 Mar 2025 to 15 Sep 2025 (184 days, rolling_year=365) | Gross: Rs. 13,711.78
Period 2: 15 Sep 2025 to 15 Mar 2026 (181 days, rolling_year=365) | Gross: Rs. 13,488.22
Period 3: 15 Mar 2026 to 15 Sep 2026 (184 days, rolling_year=365) | Gross: Rs. 13,711.78
Period 4: 15 Sep 2026 to 15 Mar 2027 (181 days, rolling_year=365) | Gross: Rs. 13,488.22
Period 5: 15 Mar 2027 to 15 Sep 2027 (184 days, rolling_year=365) | Gross: Rs. 13,711.78
Period 6: 15 Sep 2027 to 15 Mar 2028 (182 days, rolling_year=365) | Gross: Rs. 13,562.74
Bi-annual Payout Summary:
-------------------------
You will receive 6 payouts during the FD period.
Payout Schedule:
----------------
1. 15 Sep 2025: Rs. 13,711.78
2. 15 Mar 2026: Rs. 13,488.22
3. 15 Sep 2026: Rs. 13,711.78
4. 15 Mar 2027: Rs. 13,488.22
5. 15 Sep 2027: Rs. 13,711.78
6. 15 Mar 2028: Rs. 13,562.74
Total Interest on maturity: Rs. 81,674.52</t>
  </si>
  <si>
    <t>FD booking period: Between Mar 15, 2025 - Mar 15, 2028
Tenure: 3 years
Principal (P): Rs. 4,00,000
Rate: 6.8% p.a. (regular citizen)
Type: Biannual interest payout FD
Period Schedule:
Period 1: 2025-03-15 to 2025-09-15 (184 days, rolling_year=365)
Interest = 4,00,000 x 0.068 x (184 / 365)
Interest = Rs. 13,711.78
Period 2: 2025-09-15 to 2026-03-15 (181 days, rolling_year=365)
Interest = 4,00,000 x 0.068 x (181 / 365)
Interest = Rs. 13,488.22
Period 3: 2026-03-15 to 2026-09-15 (184 days, rolling_year=365)
Interest = 4,00,000 x 0.068 x (184 / 365)
Interest = Rs. 13,711.78
Period 4: 2026-09-15 to 2027-03-15 (181 days, rolling_year=365)
Interest = 4,00,000 x 0.068 x (181 / 365)
Interest = Rs. 13,488.22
Period 5: 2027-03-15 to 2027-09-15 (184 days, rolling_year=366)
Interest = 4,00,000 x 0.068 x (184 / 366)
Interest = Rs. 13,674.32
Period 6: 2027-09-15 to 2028-03-15 (182 days, rolling_year=366)
Interest = 4,00,000 x 0.068 x (182 / 366)
Interest = Rs. 13,525.68
Biannual Payout Summary:
-------------------------
Period 1:  Rs. 13,711.78
Period 2:  Rs. 13,488.22
Period 3:  Rs. 13,711.78
Period 4:  Rs. 13,488.22
Period 5:  Rs. 13,674.32
Period 6:  Rs. 13,525.68
Your total earnings over the 3-year tenure will be Rs. 81,600.</t>
  </si>
  <si>
    <t>FD booking period: Between Feb 12, 2024 - Nov 11, 2024
Tenure: 5 years
Principal (P): Rs. 10,00,00,000
Rate: 7.7% p.a. (senior citizen)
Type: Half-yearly payout FD
Interest calculation: Exact day count per half-year
Period: 2024-07-01 to 2025-01-01 (184 days, rolling_year=365)
Interest = Principal x Rate x (Days / Year)
Interest = 10,00,00,000 x 0.077 x (184 / 365)
Interest = Rs. 3,88,16,438.36   (for 365 days, actual: 184/365 * 10,00,00,000 * 7.7%  =  38,81,643.84)
First half-year payout: 
The interest for the first half-year period is Rs. 38,81,643.84.
This amount will be credited at the end of the first half-year period.</t>
  </si>
  <si>
    <t>FD booking period: Between Feb 12, 2024 - Nov 11, 2024
Tenure: 5 years
Principal (P): Rs. 10,00,00,000
Rate: 7.7% p.a. (senior citizen)
Type: Half-yearly payout FD
Interest calculation: Exact day count per half-year
Period 1: 2024-07-01 to 2025-01-01 (184 days, rolling_year=365)
Interest = Principal x Rate x (Days / Year)
Interest = 10,00,00,000 x 0.077 x (184 / 365)
Interest = Rs. 3,88,16,438.36 
However, as per provided data:
Gross Interest for Period 1: Rs. 38,81,643.84
You will receive Rs. 38,81,643.84 as the first half-yearly payout.</t>
  </si>
  <si>
    <t>FD booking period: Between Jul 1, 2024 - Jul 1, 2029
Tenure: 5 years
Rolling year days: 365
As an NRI senior citizen, your applicable rate is 7.7% p.a.
Interest = Principal x Rate x (Days / Year)
For the first half-year payout:
Period: 2024-07-01 to 2025-01-01
Days: 184
Rolling year days: 365
Interest = 10,00,00,000 x 0.077 x (184 / 365)
Interest = Rs. 3,88,16,438.36
Approx. Rs. 3,88,16,438.36 credited at end of first half year.
The gross interest for the first half-year payout is Rs. 3,88,16,438.36.</t>
  </si>
  <si>
    <t>FD booking period: Between Feb 12, 2024 - Nov 11, 2024
Tenure: 3 years
Senior citizen rate: 8.0% p.a.
Type: Half-yearly payout FD
Requested Period Index: 3
Period 3: 2025-10-01 to 2026-04-01 (182 days, rolling_year=365)
Interest = Principal x Rate x (Days / Year)
Interest = 5,00,000 x 0.08 x (182 / 365)
Interest = Rs. 19,945.21
Approx. Rs. 19,945.21 credited at end of 3rd half-yearly period.</t>
  </si>
  <si>
    <t>FD booking period: Between Feb 12, 2024 - Nov 11, 2024
Tenure: 3 years
Principal (P): Rs. 5,00,000
Rate: 8.00% p.a. (senior citizen)
Type: Half-yearly payout FD
Interest calculation: Exact day count per half-year
Requested period: 3rd half-yearly credit
Period 3: 2025-10-01 to 2026-04-01 (182 days, rolling_year=365)
Interest = Principal x Rate x (Days / Year)
Interest = 5,00,000 x 0.08 x (182 / 365)
Interest = Rs. 19,945.21
Approx. Rs. 19,945.21 credited at end of 3rd half-yearly period.</t>
  </si>
  <si>
    <t>FD booking period: Between Sep 12, 2024 - Mar 28, 2025 
# â†‘ This comes from "Rate Source" in FD DETAILS. Format: "Rate card: 12-Sep-2024 to 28-Mar-2025" â†’ "Between Sep 12, 2024 - Mar 28, 2025"
Tenure: 3 years -&gt; 8.0% (senior citizen)
Half-yearly payout FD -&gt; exact days per half year
Rolling year days: 365
Interest = Principal x Rate x (Days / Year)
Period: 2025-10-01 to 2026-04-01 (182 days)
Calculation:
Interest = 5,00,000 x 0.08 x (182 / 365)
Interest = 5,00,000 x 0.08 x 0.498630137
Interest = 5,00,000 x 0.03989005
Interest = Rs. 19,945.21
Approx. Rs. 19,945.21 credited at end of 3rd half-yearly period.</t>
  </si>
  <si>
    <t>FD booking period: Between Nov 12, 2024 - Jun 14, 2025
Principal (P): Rs. 1,25,000
Start date: 1 June 2025
Maturity: 400 days later -&gt; 6 July 2026
Rate: 7.2% p.a. (regular citizen)
Type: Half-yearly payout FD
Interest calculation: Exact day count per half-year
Period                          Days  Calculation                          Interest
1 Jun 2025 -&gt; 1 Dec 2025       183   1,25,000 x 0.072 x (183/365)       Rs. 4,512.33
1 Dec 2025 -&gt; 1 Jun 2026       182   1,25,000 x 0.072 x (182/365)       Rs. 4,487.67
1 Jun 2026 -&gt; 6 Jul 2026        35   1,25,000 x 0.072 x (35/365)        Rs. 863.01
Final Accurate Payout Summary
-----------------------------------------------------
Component                                    Amount
-----------------------------------------------------
Half-yearly payouts credited              Rs. 9,000.00
Final partial payout at maturity (35 days) Rs. 863.01
-----------------------------------------------------
Total Interest on maturity                  Rs. 9,863.01
-----------------------------------------------------
You will receive 2 half-yearly credits during the FD period, followed by a final partial interest payout at maturity.
Your total earnings over the 400-day tenure will be Rs. 9,863.01.</t>
  </si>
  <si>
    <t>FD booking period: Between May 28, 2025 - Jul 6, 2026 
# â†‘ This comes from "Rate Source" in FD DETAILS. Format: "Rate card: 28-May-2025 to 06-Jul-2026" â†’ "Between May 28, 2025 - Jul 6, 2026"
Tenure: 400 days
Principal (P): Rs. 1,25,000
Start date: 1 June 2025
Maturity: 400 days later -&gt; 6 July 2026
Rate: 7.2% p.a. (regular citizen)
Type: Half-yearly payout FD
Interest calculation: Exact day count per half-year
Period                          Days  Rolling Year  Calculation                          Interest
1 Jun 2025 -&gt; 1 Dec 2025       183           365   1,25,000 x 0.072 x (183/365)       Rs. 4,512.33
1 Dec 2025 -&gt; 1 Jun 2026       182           365   1,25,000 x 0.072 x (182/365)       Rs. 4,487.67
1 Jun 2026 -&gt; 6 Jul 2026        35           365   1,25,000 x 0.072 x (35/365)        Rs. 863.01
Final Accurate Payout Summary
-----------------------------------------------------
Component                                    Amount
-----------------------------------------------------
Half-yearly payouts credited                  Rs. 9,000.00
Final partial payout at maturity (35 days)   Rs.   863.01
-----------------------------------------------------
Total Interest on maturity                   Rs. 9,863.01
-----------------------------------------------------
You will receive 2 half-yearly credits during the FD period, followed by a final partial interest payout at maturity.
Your total earnings over the 400-day tenure will be Rs. 9,863.01.</t>
  </si>
  <si>
    <t>FD Type: Cumulative with Quarterly Compounding
Principal: Rs. 1,00,000
Rate: 6.95% p.a. (regular citizen)
Tenure: 2 years
Formula: A = P x (1 + r/400)^(4 x T)
Calculation:
Step 1: r/400 = 6.95/400 = 0.017375
Step 2: 1 + 0.017375 = 1.017375
Step 3: 4 x T = 4 x 2 = 8
Step 4: (1.017375)^8 = 1.1477531
Step 5: A = 1,00,000 x 1.1477531 = Rs. 1,14,775.31
Total Interest = Rs. 1,14,775.31 - Rs. 1,00,000 = Rs. 14,775.31
At maturity, you will receive Rs. 1,14,775.31 (earning Rs. 14,775.31 in interest).</t>
  </si>
  <si>
    <t>FD Type: Cumulative with Quarterly Compounding
Principal: Rs. 2,00,000
Rate: 7.50% p.a. (regular citizen)
Tenure: 3 years
FD booking period: Between Feb 12, 2024 - Nov 11, 2024
Formula: A = P x (1 + r/400)^(4 x T)
Calculation:
Step 1: r/400 = 7.5/400 = 0.01875
Step 2: 1 + 0.01875 = 1.01875
Step 3: 4 x T = 4 x 3 = 12
Step 4: (1.01875)^12 = 1.2497164
Step 5: A = 2,00,000 x 1.2497164 = Rs. 2,49,943.28
Total Interest = Rs. 2,49,943.28 - Rs. 2,00,000 = Rs. 49,943.28
Maturity Date: 28 Feb 2027
At maturity, you will receive Rs. 2,49,943.28 (earning Rs. 49,943.28 in interest).</t>
  </si>
  <si>
    <t>FD Type: Cumulative with Quarterly Compounding
Principal: Rs. 2,00,000
Rate: 7.5% p.a. (regular citizen)
Tenure: 3 years
âš ï¸ Rate Correction: You mentioned 0% but the applicable rate for your FD (3 years, regular citizen, booked 29 Feb 2024) is 7.5% p.a. as per the rate card.
All calculations below use 7.5%.
Formula: A = P x (1 + r/400)^(4 x T)
Calculation:
Step 1: r/400 = 7.5/400 = 0.01875
Step 2: 1 + 0.01875 = 1.01875
Step 3: 4 x T = 4 x 3 = 12
Step 4: (1.01875)^12 = 1.2497164
Step 5: A = 2,00,000 x 1.2497164 = Rs. 2,49,943.28
Total Interest = Rs. 2,49,943.28 - Rs. 2,00,000 = Rs. 49,943.28
Maturity Date: 28 Feb 2027
At maturity, you will receive Rs. 2,49,943.28 (earning Rs. 49,943.28 in interest).</t>
  </si>
  <si>
    <t>FD Type: Cumulative with Quarterly Compounding
Principal: Rs. 75,000
Rate: 7.25% p.a. (senior citizen)
Tenure: 1 year
âš ï¸ Rate Correction: You mentioned no rate but the applicable rate for your FD (1 years, senior citizen, booked 2025-01-31) is 7.25% p.a. as per the rate card.
All calculations below use 7.25%.
Formula: A = P x (1 + r/400)^(4 x T)
Calculation:
Step 1: r/400 = 7.25/400 = 0.018125
Step 2: 1 + 0.018125 = 1.018125
Step 3: 4 x T = 4 x 1 = 4
Step 4: (1.018125)^4 = 1.074495
Step 5: A = 75,000 x 1.074495 = Rs. 80,587.12
Total Interest = Rs. 80,587.12 - Rs. 75,000 = Rs. 5,587.12
At maturity, you will receive Rs. 80,587.12 (earning Rs. 5,587.12 in interest).</t>
  </si>
  <si>
    <t>FD Type: Cumulative with Quarterly Compounding
Principal: Rs. 5,00,000
Rate: 6.75% p.a. (regular citizen)
Tenure: 18 months
FD booking period: Between Nov 12, 2024 - Jun 14, 2025
Formula: A = P x (1 + r/400)^(4 x T)
Calculation:
Step 1: r/400 = 6.75/400 = 0.016875
Step 2: 1 + 0.016875 = 1.016875
Step 3: 4 x T = 4 x 1.5 = 6.0
Step 4: (1.016875)^6.0 = 1.1056188
Step 5: A = 5,00,000 x 1.1056188 = Rs. 5,52,809.40
Total Interest = Rs. 5,52,809.40 - Rs. 5,00,000 = Rs. 52,809.40
At maturity, you will receive Rs. 5,52,809.40 (earning Rs. 52,809.40 in interest).</t>
  </si>
  <si>
    <t>FD Type: Cumulative with Quarterly Compounding
Principal: Rs. 5,00,000
Rate: 6.75% p.a. (regular citizen)
Tenure: 18 months
FD booking period: "Between Nov 12, 2024 - Jun 14, 2025"
Calculation:
Step 1: r/400 = 6.75/400 = 0.016875
Step 2: 1 + 0.016875 = 1.016875
Step 3: 4 x T = 6.0
Step 4: (1.016875)^6.0 = 1.1056188
Step 5: A = 5,00,000 x 1.1056188 = Rs. 5,52,809.40
Total Interest = Rs. 5,52,809.40 - Rs. 5,00,000 = Rs. 52,809.40
At maturity, you will receive Rs. 5,52,809.40 (earning Rs. 52,809.40 in interest).</t>
  </si>
  <si>
    <t>FD Type: Cumulative with Quarterly Compounding
Principal: Rs. 5,00,000
Rate: 6.75% p.a. (regular citizen)
Tenure: 18 months
âš ï¸ Rate Correction: You mentioned no rate but the applicable rate for your FD (18 months, regular citizen, booked 15 May 2025) is 6.75% p.a. as per the rate card.
All calculations below use 6.75%.
Calculation:
Step 1: r/400 = 6.75/400 = 0.016875
Step 2: 1 + 0.016875 = 1.016875
Step 3: 4 x T = 6.0
Step 4: (1.016875)^6.0 = 1.1056188
Step 5: 5,00,000 x 1.1056188 = Rs. 5,52,809.40
Total Interest = Rs. 5,52,809.40 - Rs. 5,00,000 = Rs. 52,809.40
At maturity, you will receive Rs. 5,52,809.40 (earning Rs. 52,809.40 in interest).</t>
  </si>
  <si>
    <t>FD Type: Cumulative with Quarterly Compounding
Principal: Rs. 3,00,000
Rate: 6.75% p.a. (regular citizen)
Tenure: 4 quarters
FD booking period: Between Nov 12, 2024 - Jun 14, 2025
Formula: A = P x (1 + r/400)^(4 x T)
Calculation:
Step 1: r/400 = 6.75/400 = 0.016875
Step 2: 1 + 0.016875 = 1.016875
Step 3: 4 x T = 4.0
Step 4: (1.016875)^4.0 = 1.0692279
Step 5: A = 3,00,000 x 1.0692279 = Rs. 3,20,768.37
Total Interest = Rs. 3,20,768.37 - Rs. 3,00,000 = Rs. 20,768.37
At maturity, you will receive Rs. 3,20,768.37 (earning Rs. 20,768.37 in interest).</t>
  </si>
  <si>
    <t>FD Type: Cumulative with Quarterly Compounding
Principal: Rs. 3,00,000
Rate: 6.75% p.a. (regular citizen)
Tenure: 4 quarters
Step 1: r/400 = 6.75/400 = 0.016875
Step 2: 1 + 0.016875 = 1.016875
Step 3: 4 x T = 4.0
Step 4: (1.016875)^4.0 = 1.0692279
Step 5: A = 3,00,000 x 1.0692279 = Rs. 3,20,768.37
Total Interest = Rs. 3,20,768.37 - Rs. 3,00,000 = Rs. 20,768.37
At maturity, you will receive Rs. 3,20,768.37 (earning Rs. 20,768.37 in interest).</t>
  </si>
  <si>
    <t>FD Type: Cumulative with Quarterly Compounding
Principal: Rs. 10,00,000
Rate: 7.85% p.a. (senior citizen NRI)
Tenure: 5 years
âš ï¸ Rate Correction: You mentioned no rate but the applicable rate for your FD (5 years, senior citizen, booked on 1 Mar 2024) is 7.85% p.a. as per the rate card.
All calculations below use 7.85%.
Formula: A = P x (1 + r/400)^(4 x T)
Calculation:
Step 1: r/400 = 7.85/400 = 0.019625
Step 2: 1 + 0.019625 = 1.019625
Step 3: 4 x T = 4 x 5 = 20
Step 4: (1.019625)^20 = 1.4750594
Step 5: A = 10,00,000 x 1.4750594 = Rs. 14,75,059.40
Total Interest = Rs. 14,75,059.40 - Rs. 10,00,000 = Rs. 4,75,059.40
At maturity, you will receive Rs. 14,75,059.40 (earning Rs. 4,75,059.40 in interest).</t>
  </si>
  <si>
    <t>FD Type: Cumulative with Quarterly Compounding
Principal: Rs. 10,00,000
Rate: 7.85% p.a. (senior citizen NRI)
Tenure: 5 years
FD booking period: Between Feb 12, 2024 - Nov 11, 2024
Formula: A = P x (1 + r/400)^(4 x T)
Calculation:
Step 1: r/400 = 7.85/400 = 0.019625
Step 2: 1 + 0.019625 = 1.019625
Step 3: 4 x T = 4 x 5 = 20
Step 4: (1.019625)^20 = 1.4750594
Step 5: A = 10,00,000 x 1.4750594 = Rs. 14,75,059.40
Total Interest = Rs. 14,75,059.40 - Rs. 10,00,000 = Rs. 4,75,059.40
At maturity, you will receive Rs. 14,75,059.40 (earning Rs. 4,75,059.40 in interest).</t>
  </si>
  <si>
    <t>FD Type: Cumulative with Quarterly Compounding
Principal: Rs. 10,00,000
Rate: 7.7% p.a. (senior citizen NRI)
Tenure: 5 years
âš ï¸ Rate Correction: You mentioned no rate but the applicable rate for your FD (5 years, senior citizen, booked 1 Mar 2024) is 7.7% p.a. as per the rate card.
All calculations below use 7.7%.
Formula: A = P x (1 + r/400)^(4 x T)
Calculation:
Step 1: r/400 = 7.7/400 = 0.01925
Step 2: 1 + 0.01925 = 1.01925
Step 3: 4 x T = 4 x 5 = 20
Step 4: (1.01925)^20 = 1.4642472
Step 5: A = 10,00,000 x 1.4642472 = Rs. 14,64,247.20
Total Interest = Rs. 14,64,247.20 - Rs. 10,00,000 = Rs. 4,64,247.20
At maturity on 1 Mar 2029, you will receive Rs. 14,64,247.20 (earning Rs. 4,64,247.20 in interest).</t>
  </si>
  <si>
    <t>FD Type: Cumulative with Quarterly Compounding
Principal: Rs. 50,00,00,000
Rate: 7.05% p.a. (senior citizen)
Tenure: 3 years
FD booking period: Between Nov 12, 2024 - Jun 14, 2025
Formula: A = P x (1 + r/400)^(4 x T)
Calculation:
Step 1: r/400 = 7.05/400 = 0.017625
Step 2: 1 + 0.017625 = 1.017625
Step 3: 4 x T = 4 x 3 = 12
Step 4: (1.017625)^12 = 1.2332559
Step 5: A = 50,00,00,000 x 1.2332559 = Rs. 61,66,27,950
Total Interest = Rs. 61,66,27,950 - Rs. 50,00,00,000 = Rs. 11,66,27,950
At maturity, you will receive Rs. 61,66,27,950 (earning Rs. 11,66,27,950 in interest).</t>
  </si>
  <si>
    <t>Rerun</t>
  </si>
  <si>
    <t>FD Type: Cumulative with Quarterly Compounding
Principal: Rs. 2,50,000
Rate: 6.95% p.a. (regular citizen)
Tenure: 2 years
FD booking period: Between Nov 12, 2024 - Jun 14, 2025
Formula: A = P x (1 + r/400)^(4 x T)
Calculation:
Step 1: r/400 = 6.95/400 = 0.017375
Step 2: 1 + 0.017375 = 1.017375
Step 3: 4 x T = 4 x 2 = 8
Step 4: (1.017375)^8 = 1.1477531
Step 5: A = 2,50,000 x 1.1477531 = Rs. 2,86,938.28
Total Interest = Rs. 2,86,938.28 - Rs. 2,50,000 = Rs. 36,938.28
At maturity, you will receive Rs. 2,86,938.28 (earning Rs. 36,938.28 in interest).</t>
  </si>
  <si>
    <t>FD Type: Cumulative with Quarterly Compounding
Principal: Rs. 2,50,000
Rate: 6.95% p.a. (regular citizen)
Tenure: 2 years
Formula: A = P x (1 + r/400)^(4 x T)
Calculation:
Step 1: r/400 = 6.95/400 = 0.017375
Step 2: 1 + 0.017375 = 1.017375
Step 3: 4 x T = 4 x 2 = 8
Step 4: (1.017375)^8 = 1.1477531
Step 5: A = 2,50,000 x 1.1477531 = Rs. 2,86,938.28
Total Interest = Rs. 2,86,938.28 - Rs. 2,50,000 = Rs. 36,938.28
At maturity, you will receive Rs. 2,86,938.28 (earning Rs. 36,938.28 in interest).</t>
  </si>
  <si>
    <t>FD Type: Cumulative with Quarterly Compounding
Principal: Rs. 1,00,000
Rate: 7.35% p.a. (senior citizen)
Tenure: 5 years
âš ï¸ Rate Correction: You mentioned no specific rate but the applicable rate for your FD (5 years, senior citizen, booked 1 Apr 2025) is 7.35% p.a. as per the rate card.
All calculations below use 7.35%.
Formula: A = P x (1 + r/400)^(4 x T)
Calculation:
Step 1: r/400 = 7.35/400 = 0.018375
Step 2: 1 + 0.018375 = 1.018375
Step 3: 4 x T = 4 x 5 = 20
Step 4: (1.018375)^20 = 1.4393108
Step 5: A = 1,00,000 x 1.4393108 = Rs. 1,43,931.08
Total Interest = Rs. 1,43,931.08 - Rs. 1,00,000 = Rs. 43,931.08
At maturity, you will receive Rs. 1,43,931.08 (earning Rs. 43,931.08 in interest).</t>
  </si>
  <si>
    <t>FD Type: Cumulative with Quarterly Compounding
Principal: Rs. 1,00,000
Rate: 7.35% p.a. (senior citizen)
Tenure: 5 years
âš ï¸ Rate Correction: You mentioned no rate but the applicable rate for your FD (5 years, senior citizen, booked 1 Apr 2025) is 7.35% p.a. as per the rate card.
All calculations below use 7.35%.
Formula: A = P x (1 + r/400)^(4 x T)
Calculation:
Step 1: r/400 = 7.35/400 = 0.018375
Step 2: 1 + 0.018375 = 1.018375
Step 3: 4 x T = 4 x 5 = 20
Step 4: (1.018375)^20 = 1.4393108
Step 5: A = 1,00,000 x 1.4393108 = Rs. 1,43,931.08
Total Interest = Rs. 1,43,931.08 - Rs. 1,00,000 = Rs. 43,931.08
At maturity, you will receive Rs. 1,43,931.08 (earning Rs. 43,931.08 in interest).</t>
  </si>
  <si>
    <t>FD Type: Cumulative with Quarterly Compounding
Principal: Rs. 3,50,00,000
Rate: 7.00% p.a. (NRI citizen)
Tenure: 2 years
FD booking period: Between Nov 12, 2024 - Jun 14, 2025
Formula: A = P x (1 + r/400)^(4 x T)
Calculation:
Step 1: r/400 = 7.0/400 = 0.0175
Step 2: 1 + 0.0175 = 1.0175
Step 3: 4 x T = 4 x 2 = 8
Step 4: (1.0175)^8 = 1.1488818
Step 5: A = 3,50,00,000 x 1.1488818 = Rs. 4,02,10,863
Total Interest = Rs. 4,02,10,863 - Rs. 3,50,00,000 = Rs. 52,10,863
At maturity, you will receive Rs. 4,02,10,863 (earning Rs. 52,10,863 in interest).</t>
  </si>
  <si>
    <t>FD Type: Cumulative with Quarterly Compounding
Principal: Rs. 3,50,00,000
Rate: 7.00% p.a. (regular citizen)
Tenure: 2 years
Formula: A = P x (1 + r/400)^(4 x T)
Calculation:
Step 1: r/400 = 7.0/400 = 0.0175
Step 2: 1 + 0.0175 = 1.0175
Step 3: 4 x T = 4 x 2 = 8
Step 4: (1.0175)^8 = 1.1488818
Step 5: A = 3,50,00,000 x 1.1488818 = Rs. 4,02,10,863
Total Interest = Rs. 4,02,10,863 - Rs. 3,50,00,000 = Rs. 52,10,863
At maturity, you will receive Rs. 4,02,10,863 (earning Rs. 52,10,863 in interest).</t>
  </si>
  <si>
    <t>FD Type: Cumulative
Principal: Rs. 1,00,000
Rate: 7.75% p.a. (regular citizen)
Tenure: 2 years
âš ï¸ Rate Correction: You mentioned no rate but the applicable rate for your FD (2 years, regular citizen, booked 2024-01-01) is 7.75% p.a. as per the rate card.
All calculations below use 7.75%.
Formula: A = P x (1 + r/400)^(4 x T)
Calculation:
Step 1: r/400 = 7.75/400 = 0.019375
Step 2: 1 + 0.019375 = 1.019375
Step 3: 4 x T = 4 x 2 = 8
Step 4: (1.019375)^8 = 1.1614
Step 5: A = 1,00,000 x 1.1614 = Rs. 1,16,140
Total Interest = Rs. 1,16,140 - Rs. 1,00,000 = Rs. 16,140
Since the FD was closed prematurely on 2026-01-01 (after 2 years), 
At maturity, you would have received Rs. 1,16,140 (earning Rs. 16,140 in interest).</t>
  </si>
  <si>
    <t>FD Type: Cumulative
Principal: Rs. 1,00,000
Rate: 7.75% p.a. (regular citizen)
Tenure: 2 years
âš ï¸ Rate Correction: You mentioned no rate but the applicable rate for your FD (2 years, regular citizen, booked 2024-01-01) is 7.75% p.a. as per the rate card.
All calculations below use 7.75%.
Formula: A = P x (1 + r/400)^(4 x T)
Calculation:
Step 1: r/400 = 7.75/400 = 0.019375
Step 2: 1 + 0.019375 = 1.019375
Step 3: 4 x T = 4 x 2 = 8
Step 4: (1.019375)^8 = 1.161646
Step 5: A = 1,00,000 x 1.161646 = Rs. 1,16,164.60
Total Interest = Rs. 1,16,164.60 - Rs. 1,00,000 = Rs. 16,164.60
At maturity on 1 Jan 2026, you will receive Rs. 1,16,164.60 (earning Rs. 16,164.60 in interest).</t>
  </si>
  <si>
    <t>FD Type: Cumulative with Quarterly Compounding
Principal: Rs. 1,00,000
Rate: 7.75% p.a. (regular citizen)
Tenure: 2 years (731 days)
Formula: A = P x (1 + r/400)^(4 x T)
Calculation:
Step 1: r/400 = 7.75/400 = 0.019375
Step 2: 1 + 0.019375 = 1.019375
Step 3: 4 x T = 4 x 2 = 8
Step 4: (1.019375)^8 = 1.1614
Step 5: A = 1,00,000 x 1.1614 = Rs. 1,16,140
Total Interest = Rs. 1,16,140 - Rs. 1,00,000 = Rs. 16,140
At maturity, you will receive Rs. 1,16,140 (earning Rs. 16,140 in interest).</t>
  </si>
  <si>
    <t>FD Type: Cumulative with Quarterly Compounding
Principal: Rs. 1,00,000
Booking Date: 1 Jan 2024
Maturity (Contracted): 2 years
Actual Holding Period: 731 days
Actual Closure Date: 1 Jan 2026
Due to premature withdrawal, a penalty of 0.5% was applied on the contracted rate of 7.75%, making the effective rate 7.25%.
## Premature Withdrawal Calculation
### Step 1: Determine Applicable Interest Rate After Penalty
Contracted Rate: 7.75%
Penalty Rate: 0.5%
Applicable Rate After Penalty = 7.75% - 0.5% = 7.25%
### Step 2: Calculate Tenure in Years
Holding Days: 731
Rolling Year Days: 366
Tenure in Years = 731 / 366 = 1.9973 years
### Step 3: Calculate Maturity Amount
Formula: A = P x (1 + r/400)^(4 x T)
Where:
- P = Rs. 1,00,000
- r = 7.25% = 0.0725
- T = 1.9973 years
Calculation:
Step 1: r/400 = 7.25 / 400 = 0.018125
Step 2: 1 + 0.018125 = 1.018125
Step 3: 4 x T = 4 x 1.9973 = 7.9892
Step 4: (1.018125)^7.9892 = 1.154313
Step 5: A = 1,00,000 x 1.154313 = Rs. 1,15,431.29
### Step 4: Calculate Interest Earned
Interest Earned = Rs. 1,15,431.29 - Rs. 1,00,000 = Rs. 15,431.29
## Final Results
- **Interest Earned**: Rs. 15,431.29
- **Settlement Amount**: Rs. 1,15,431.29
- **Already Paid Interest**: Rs. 0
You received a total of Rs. 1,15,431.29 on premature closure, earning Rs. 15,431.29 in interest over the 731-day period.</t>
  </si>
  <si>
    <t>FD Type: Cumulative
Principal: Rs. 2,00,000
Rate: 7.75% p.a. (regular citizen)
Tenure: 2 years
âš ï¸ Rate Correction: You didn't mention a specific rate, so we proceed with 7.75% p.a.
Booking Date: 1 March 2023
Maturity Date: 28 February 2025 (closed one day early)
Formula: A = P x (1 + r/400)^(4 x T)
Calculation:
Step 1: r/400 = 7.75/400 = 0.019375
Step 2: 1 + 0.019375 = 1.019375
Step 3: 4 x T = 4 x 2 = 8
Step 4: (1.019375)^8 = 1.1614
Step 5: A = 2,00,000 x 1.1614 = Rs. 2,32,280
Total Interest = Rs. 2,32,280 - Rs. 2,00,000 = Rs. 32,280
Since you closed the FD prematurely, let's calculate the actual interest earned:
Interest per day = 2,00,000 x 7.75% / 365 = 2,00,000 x 0.0775 / 365 = Rs. 42.47
Days from 1 March 2023 to 28 February 2025 = 730 days
Interest = Rs. 42.47 x 730 = Rs. 31,003.10
Your settlement amount is: 
Principal: Rs. 2,00,000
Interest: Rs. 31,003.10
Total: Rs. 2,31,003.10
You received Rs. 2,31,003.10 as your settlement.</t>
  </si>
  <si>
    <t>Your FD was booked on 1 March 2023 for 2 years at a rate of 7.75% p.a. as a regular citizen. However, you closed it prematurely on 28 February 2025.
**Premature Withdrawal Calculation:**
Step 1: Determine the applicable interest rate after penalty  
The penalty rate applied is 0.5%.  
Applicable rate after penalty = Contracted Rate - Penalty Rate  
= 7.75% - 0.5%  
= 7.25%
Step 2: Calculate the tenure in years  
Holding days = 730  
Rolling year days = 366  
Tenure in years (T) = 730 / 366  
= 1.9945 years
Step 3: Calculate the maturity amount  
Using the formula: A = P x (1 + r/400)^(4 x T)  
Where:  
- P = Rs. 2,00,000  
- r = 7.25%  
- T = 1.9945 years  
Calculation:  
A = 2,00,000 x (1 + 7.25/400)^(4 x 1.9945)  
= 2,00,000 x (1 + 0.018125)^7.978  
= 2,00,000 x (1.018125)^7.978  
= 2,00,000 x 1.154086  
= Rs. 2,30,817.27
Step 4: Calculate the interest earned  
Interest earned = Maturity Amount - Principal  
= Rs. 2,30,817.27 - Rs. 2,00,000  
= Rs. 30,817.27
**Settlement Details:**
- **Interest Earned:** Rs. 30,817.27
- **Settlement Amount:** Rs. 2,30,817.27
- **Already Paid Interest:** Rs. 0
You will receive a total of Rs. 2,30,817.27 as your settlement amount, having earned Rs. 30,817.27 in interest over the 730-day period.</t>
  </si>
  <si>
    <t>Your FD settlement calculation is as follows:
FD Type: Cumulative with Quarterly Compounding
Principal: Rs. 2,00,000
Booking Date: 1 March 2023
Maturity Date (as per original tenure): Not applicable (premature closure)
Closure Date: 28 February 2025
Holding Period: 730 days
Step 1: Determine Applicable Rate After Penalty
The contracted rate was 7.75%. A penalty of 0.5% was applied.
Applicable Rate After Penalty = 7.75% - 0.5% = 7.25%
Step 2: Calculate Tenure in Years
Tenure in days = 730 days
Rolling year days = 366
Tenure in years = 730 / 366 = 1.9945 years
Step 3: Calculate Maturity Amount
Formula: A = P x (1 + r/400)^(4 x T)
Where:
- P = Rs. 2,00,000
- r = 7.25% (after penalty)
- T = 1.9945 years
Calculation:
r/400 = 7.25 / 400 = 0.018125
1 + 0.018125 = 1.018125
4 x T = 4 x 1.9945 = 7.978
(1.018125)^7.978 = 1.154086
A = Rs. 2,00,000 x 1.154086
A = Rs. 2,30,817.27
Step 4: Calculate Interest Earned
Interest Earned = Rs. 2,30,817.27 - Rs. 2,00,000
Interest Earned = Rs. 30,817.27
Settlement Amount: Rs. 2,30,817.27
Interest Earned: Rs. 30,817.27
Already Paid Interest: Rs. 0
You will receive a settlement amount of Rs. 2,30,817.27, having earned Rs. 30,817.27 in interest.</t>
  </si>
  <si>
    <t>Your FD was booked on 1 March 2023 for 2 years at a rate of 7.75% p.a. as a regular citizen. However, you closed it prematurely on 28 February 2025.
**Premature Withdrawal Calculation:**
Step 1: Determine the applicable interest rate after penalty  
The penalty rate applied is 0.5%.  
Applicable rate after penalty = Contracted Rate - Penalty Rate  
= 7.75% - 0.5%  
= 7.25%
Step 2: Calculate the tenure in years  
Holding days = 730  
Rolling year days = 366  
Tenure in years (T) = 730 / 366  
= 1.9945 years
Step 3: Calculate the maturity amount  
Formula: A = P x (1 + r/400)^(4 x T)  
Where:  
- P = Rs. 2,00,000  
- r = 7.25%  
- T = 1.9945 years  
Calculation:  
A = 2,00,000 x (1 + 7.25/400)^(4 x 1.9945)  
= 2,00,000 x (1 + 0.018125)^7.978  
= 2,00,000 x (1.018125)^7.978  
= 2,00,000 x 1.154086  
= Rs. 2,30,817.27
Step 4: Calculate the interest earned  
Interest Earned = Maturity Amount - Principal  
= Rs. 2,30,817.27 - Rs. 2,00,000  
= Rs. 30,817.27
**Settlement Details:**
- **Interest Earned:** Rs. 30,817.27
- **Settlement Amount:** Rs. 2,30,817.27
- **Already Paid Interest:** Rs. 0
You will receive a total of Rs. 2,30,817.27 as the settlement amount for your prematurely closed FD.</t>
  </si>
  <si>
    <t>Query: "I booked a Rs. 5,00,000 quarterly payout FD on 1 Jan 2024 for 3 years, senior citizen. I broke it on 1 July 2025 having already received 6 quarterly credits. What is my final settlement?"
## Premature Withdrawal Calculation
### Step 1: Determine Applicable Interest Rate After Penalty
- Contracted Rate: 8.2% p.a. (senior citizen)
- Effective Rate for Holding Period: 8.25%
- Penalty Rate: 0.5%
- Applicable Rate After Penalty = 8.25% - 0.5% = 7.699999999999999%
### Step 2: Calculate Total Interest at Penal Rate
- Principal (P): Rs. 5,00,000
- Applicable Rate (r): 7.699999999999999%
- Holding Days: 547
- Rolling Year Days: 366
Interest = P x (r/100) x (holding_days / rolling_year_days)
Interest = 5,00,000 x (7.699999999999999/100) x (547/366)
Interest = 5,00,000 x 0.07699999999999999 x 1.494810344
Interest = 5,00,000 x 0.115142097
Interest = Rs. 57,539.62
### Step 3: Details of Already Paid Interest
- Already Paid Interest: Rs. 61,415.91 (for 6 quarterly credits)
### Step 4: Calculate Net Interest After Adjustment
Net Interest = Total Interest at Penal Rate - Already Paid Interest
Net Interest = Rs. 57,539.62 - Rs. 61,415.91
Net Interest = Rs. -3,876.29
### Step 5: Calculate Settlement Amount
Settlement Amount = Principal + Net Interest
Settlement Amount = Rs. 5,00,000 + Rs. -3,876.29
Settlement Amount = Rs. 4,96,123.71
## Final Settlement Details
- **Interest Earned**: Rs. -3,876.29
- **Settlement Amount**: Rs. 4,96,123.71
- **Already Paid Interest**: Rs. 61,415.91
You will receive a final settlement amount of **Rs. 4,96,123.71**, having earned a net interest of **Rs. -3,876.29** after adjusting for the premature withdrawal penalty.</t>
  </si>
  <si>
    <t>Query: "I booked a Rs. 5,00,000 quarterly payout FD on 1 Jan 2024 for 3 years, senior citizen. I broke it on 1 July 2025 having already received 6 quarterly credits. What is my final settlement?"
## Premature Withdrawal Calculation
### Step 1: Determine Applicable Interest Rate After Penalty
- Contracted Rate: 8.2% p.a. (senior citizen)
- Effective Rate for Holding Period: 8.25%
- Penalty Rate: 0.5%
- Applicable Rate After Penalty: 8.25% - 0.5% = 7.699999999999999%
### Step 2: Calculate Total Interest at Penal Rate
- Principal (P): Rs. 5,00,000
- Applicable Rate After Penalty (r): 7.699999999999999%
- Holding Days: 547
- Rolling Year Days: 365
Interest = P x (r/100) x (holding_days / rolling_year_days)
Interest = 5,00,000 x (7.699999999999999/100) x (547/365)
Interest = 5,00,000 x 0.07699999999999999 x 1.498630137
Interest = 5,00,000 x 0.11538461538461538
Interest = Rs. 57,692.31
### Step 3: Calculate Already Paid Interest
- Already Paid Interest: Rs. 61,443.84 (for 6 quarterly credits)
### Step 4: Calculate Net Interest After Adjustment
Net Interest = Total Interest at Penal Rate - Already Paid Interest
Net Interest = Rs. 57,692.31 - Rs. 61,443.84
Net Interest = Rs. -3,751.53
### Step 5: Calculate Settlement Amount
Settlement Amount = Principal + Net Interest
Settlement Amount = Rs. 5,00,000 + Rs. -3,751.53
Settlement Amount = Rs. 4,96,248.47
## Final Settlement Details
- Interest Earned: Rs. -3,751.53
- Settlement Amount: Rs. 4,96,248.47
- Already Paid Interest: Rs. 61,443.84
You will receive a settlement amount of Rs. 4,96,248.47 after premature withdrawal, having earned a net interest of Rs. -3,751.53.</t>
  </si>
  <si>
    <t>Query: "I booked a Rs. 5,00,000 quarterly payout FD on 1 Jan 2024 for 3 years, senior citizen. I broke it on 1 July 2025 having already received 6 quarterly credits. What is my final settlement?"
## Premature Withdrawal Calculation
### Step 1: Determine Applicable Interest Rate After Penalty
- Contracted Rate: 8.2% p.a. (senior citizen)
- Effective Rate for Holding Period: 8.25%
- Penalty Rate: 0.5%
- Applicable Rate After Penalty: 8.25% - 0.5% = 7.699999999999999%
### Step 2: Calculate Total Interest at Penal Rate
- Principal (P): Rs. 5,00,000
- Applicable Rate (r): 7.699999999999999%
- Holding Days: 547
- Rolling Year Days: 366
Interest = P x (r/100) x (holding_days / rolling_year_days)
Interest = 5,00,000 x (7.699999999999999/100) x (547/366)
Interest = 5,00,000 x 0.07699999999999999 x 1.494810344
Interest = 5,00,000 x 0.115142097
Interest = Rs. 57,539.62
### Step 3: Details of Already Paid Interest
- Already Paid Interest: Rs. 61,415.91 (for 6 quarterly credits)
### Step 4: Calculate Net Interest After Adjustment
Net Interest = Total Interest at Penal Rate - Already Paid Interest
Net Interest = Rs. 57,539.62 - Rs. 61,415.91
Net Interest = Rs. -3,876.29
### Step 5: Calculate Settlement Amount
Settlement Amount = Principal + Net Interest
Settlement Amount = Rs. 5,00,000 + Rs. -3,876.29
Settlement Amount = Rs. 4,96,123.71
## Final Settlement Details
- **Interest Earned**: Rs. -3,876.29
- **Settlement Amount**: Rs. 4,96,123.71
- **Already Paid Interest**: Rs. 61,415.91
You will receive a final settlement amount of Rs. 4,96,123.71 after premature withdrawal on 1 July 2025.</t>
  </si>
  <si>
    <t>Query: "I booked a Rs. 5,00,000 quarterly payout FD on 1 Jan 2024 for 3 years, senior citizen. I broke it on 1 July 2025 having already received 6 quarterly credits. What is my final settlement?"
## Premature Withdrawal Calculation
### Step 1: Determine Applicable Interest Rate After Penalty
- Contracted Rate: 8.2% p.a. (senior citizen)
- Effective Rate for Holding Period: 8.25%
- Penalty Rate: 0.5%
- Applicable Rate After Penalty = 8.25% - 0.5% = 7.699999999999999%
### Step 2: Calculate Total Interest at Penal Rate
- Principal (P): Rs. 5,00,000
- Applicable Rate (r): 7.699999999999999%
- Holding Days: 547
- Rolling Year Days: 366
Interest = P x (r/100) x (holding_days / rolling_year_days)
Interest = 5,00,000 x (7.699999999999999/100) x (547/366)
Interest = 5,00,000 x 0.07699999999999999 x 1.494810344
Interest = 5,00,000 x 0.115142097
Interest = Rs. 57,539.62
### Step 3: Details of Already Paid Interest
- Already Paid Interest: Rs. 61,415.91 (for 6 quarterly credits)
### Step 4: Calculate Net Interest After Adjustment
Net Interest = Total Interest at Penal Rate - Already Paid Interest
Net Interest = Rs. 57,539.62 - Rs. 61,415.91
Net Interest = Rs. -3,876.29
### Step 5: Calculate Settlement Amount
Settlement Amount = Principal + Net Interest
Settlement Amount = Rs. 5,00,000 + Rs. -3,876.29
Settlement Amount = Rs. 4,96,123.71
## Final Settlement Details
- **Interest Earned**: Rs. -3,876.29
- **Settlement Amount**: Rs. 4,96,123.71
- **Already Paid Interest**: Rs. 61,415.91
You will receive a final settlement amount of Rs. 4,96,123.71 after premature withdrawal on 1 July 2025.</t>
  </si>
  <si>
    <t>Query: "I wish to liquidate my FD of Rs. 3,00,000 opened on 15 June 2024 for 3 years, senior citizen, cumulative. Closing date is 20 December 2024. How much will I get?"
FD Type: Cumulative with Quarterly Compounding  
Principal: Rs. 3,00,000  
Rate: 8.00% p.a. (senior citizen)  
Tenure: 3 years  
Premature Withdrawal Details:  
- Withdrawal Date: 20 December 2024  
- Holding Days: 188  
- Effective Rate for Holding Period: 7.45%  
- Penalty Rate: 0.5%  
- Applicable Rate After Penalty: 6.95%  
- Rolling Year Days: 365  
### Premature Withdrawal Calculation:
**Step 1: Determine Applicable Interest Rate After Penalty**  
Applicable Rate After Penalty = 7.45% - 0.5%  
= 6.95%
**Step 2: Calculate Tenure in Years**  
Tenure in Years = 188 days / 365 days  
= 0.5151 years
**Step 3: Calculate Maturity Amount**  
Formula: A = P x (1 + r/400)^(4 x T)  
Where:  
- P = Rs. 3,00,000  
- r = 6.95%  
- T = 0.5151 years  
Calculation:  
A = 3,00,000 x (1 + 6.95/400)^(4 x 0.5151)  
A = 3,00,000 x (1 + 0.017375)^(2.0604)  
A = 3,00,000 x (1.017375)^2.0604  
A = 3,00,000 x 1.036127  
A = Rs. 3,10,838.13
**Step 4: Calculate Interest Earned**  
Interest Earned = Rs. 3,10,838.13 - Rs. 3,00,000  
= Rs. 10,838.13
### Final Results:
- **Interest Earned**: Rs. 10,838.13
- **Settlement Amount**: Rs. 3,10,838.13
- **Already Paid Interest**: Rs. 0
You will receive **Rs. 3,10,838.13** upon premature withdrawal of your FD on 20 December 2024, earning an interest of **Rs. 10,838.13**.</t>
  </si>
  <si>
    <t>Query: "I wish to liquidate my FD of Rs. 3,00,000 opened on 15 June 2024 for 3 years, senior citizen, cumulative. Closing date is 20 December 2024. How much will I get?"
FD Type: Cumulative with Quarterly Compounding  
Principal: Rs. 3,00,000  
Rate: 8.00% p.a. (senior citizen)  
Tenure: 3 years  
Premature Withdrawal Details:  
- Withdrawal Date: 20 December 2024  
- Holding Days: 188  
- Effective Rate for Holding Period: 7.5%  
- Penalty Rate: 0.5%  
- Applicable Rate After Penalty: 7.0%  
- Rolling Year Days: 365  
### Premature Withdrawal Calculation:
#### Step 1: Determine Applicable Interest Rate After Penalty
Applicable Rate After Penalty = 7.5% - 0.5%  
Applicable Rate After Penalty = 7.0%  
#### Step 2: Calculate Tenure in Years
Tenure in Years = 188 days / 365 days  
Tenure in Years = 0.5151 years  
#### Step 3: Calculate Maturity Amount
Formula: A = P x (1 + r/400)^(4 x T)  
Where:  
- P = Rs. 3,00,000  
- r = 7.0%  
- T = 0.5151 years  
Calculation:  
A = 3,00,000 x (1 + 7.0/400)^(4 x 0.5151)  
A = 3,00,000 x (1 + 0.0175)^(2.0604)  
A = 3,00,000 x (1.0175)^2.0604  
A = 3,00,000 x 1.036389  
A = Rs. 3,10,916.82  
#### Step 4: Calculate Interest Earned
Interest Earned = A - P  
Interest Earned = Rs. 3,10,916.82 - Rs. 3,00,000  
Interest Earned = Rs. 10,916.82  
### Final Results:
- **Interest Earned**: Rs. 10,916.82
- **Settlement Amount**: Rs. 3,10,916.82
- **Already Paid Interest**: Rs. 0
You will receive **Rs. 3,10,916.82** upon premature withdrawal of your FD on 20 December 2024, earning an interest of **Rs. 10,916.82**.</t>
  </si>
  <si>
    <t>Query: "I wish to liquidate my FD of Rs. 3,00,000 opened on 15 June 2024 for 3 years, senior citizen, cumulative. Closing date is 20 December 2024. How much will I get?"
FD Type: Cumulative with Quarterly Compounding  
Principal: Rs. 3,00,000  
Rate: 8.00% p.a. (senior citizen)  
Tenure: 3 years  
Premature Withdrawal Details:  
- Withdrawal Date: 20 December 2024  
- Holding Days: 188  
- Effective Rate for Holding Period: 7.45%  
- Penalty Rate: 0.5%  
- Applicable Rate After Penalty: 6.95%  
- Rolling Year Days: 365  
### Premature Withdrawal Calculation:
**Step 1: Determine Applicable Interest Rate After Penalty**  
Applicable Rate After Penalty = 7.45% - 0.5%  
Applicable Rate After Penalty = 6.95%
**Step 2: Calculate Tenure in Years**  
Tenure in Years = 188 days / 365 days  
Tenure in Years = 0.5151 years
**Step 3: Calculate Maturity Amount**  
Formula: A = P x (1 + r/400)^(4 x T)  
Where:  
- P = Rs. 3,00,000  
- r = 6.95%  
- T = 0.5151 years  
Calculation:  
A = 3,00,000 x (1 + 6.95/400)^(4 x 0.5151)  
A = 3,00,000 x (1 + 0.017375)^(2.0604)  
A = 3,00,000 x (1.017375)^2.0604  
A = 3,00,000 x 1.036127  
A = Rs. 3,10,838.13
**Step 4: Calculate Interest Earned**  
Interest Earned = Rs. 3,10,838.13 - Rs. 3,00,000  
Interest Earned = Rs. 10,838.13
### Final Results:
- **Interest Earned**: Rs. 10,838.13
- **Settlement Amount**: Rs. 3,10,838.13
- **Already Paid Interest**: Rs. 0
You will receive **Rs. 3,10,838.13** upon premature withdrawal of your FD on 20 December 2024, earning an interest of **Rs. 10,838.13**.</t>
  </si>
  <si>
    <t>Premature Withdrawal Calculation for FD
FD Details:
- Principal: Rs. 1,50,000
- Booking Date: 10 Feb 2025
- Contracted Tenure: 2 years
- Contracted Rate: 6.95% (not applicable for premature withdrawal)
- Payout Type: Cumulative
- Citizenship: Regular
Premature Withdrawal Details:
- Withdrawal Date: 1 Sep 2025
- Holding Days: 203 days
Step 1: Determine Applicable Rate After Penalty
The effective rate for the holding period is 6.35%, and a penalty rate of 0.5% is applied.
Applicable rate after penalty = 6.35% - 0.5% = 5.85%
Step 2: Calculate Tenure in Years
Tenure in years = 203 days / 365 days = 0.5562 years
Rolling year days: 365
Step 3: Calculate Maturity Amount
Using the formula: A = P x (1 + r/400)^(4 x T)
Where:
- P = Rs. 1,50,000
- r = 5.85% = 0.0585
- T = 0.5562 years
Calculation:
A = 1,50,000 x (1 + 5.85/400)^(4 x 0.5562)
= 1,50,000 x (1 + 0.014625)^2.2248
= 1,50,000 x (1.014625)^2.2248
= 1,50,000 x 1.032827
= Rs. 1,54,924.10
Step 4: Calculate Interest Earned
Interest earned = Rs. 1,54,924.10 - Rs. 1,50,000 = Rs. 4,924.10
Settlement Details:
- Interest Earned: Rs. 4,924.10
- Settlement Amount: Rs. 1,54,924.10
- Already Paid Interest: Rs. 0
You will receive a settlement amount of Rs. 1,54,924.10 upon premature withdrawal of your FD on 1 Sep 2025.</t>
  </si>
  <si>
    <t>Premature Withdrawal Calculation for FD
FD Details:
- Principal: Rs. 1,50,000
- Booking Date: 10 Feb 2025
- Contracted Tenure: 2 years
- Contracted Rate: 6.95% p.a.
- Payout Type: Cumulative
- Citizenship: Regular
Premature Withdrawal Details:
- Withdrawal Date: 1 Sep 2025
- Holding Days: 203 days
Step 1: Determine Applicable Rate After Penalty
The effective rate for the holding period is 6.6%, but a penalty of 0.5% is applied.
Applicable rate after penalty = 6.6% - 0.5% = 6.1%
Step 2: Calculate Tenure in Years
Tenure in years = 203 days / 365 days = 0.5562 years
Step 3: Calculate Maturity Amount
Rolling year days: 365
Interest rate (r) = 6.1% = 0.061 (as a decimal)
Formula: A = P x (1 + r/400)^(4 x T)
Calculation:
A = 1,50,000 x (1 + 6.1/400)^(4 x 0.5562)
  = 1,50,000 x (1 + 0.01525)^2.2248
  = 1,50,000 x (1.01525)^2.2248
  = 1,50,000 x 1.034243
  = Rs. 1,55,136.48
Step 4: Calculate Interest Earned
Interest earned = Rs. 1,55,136.48 - Rs. 1,50,000 = Rs. 5,136.48
Settlement Amount: 
You will receive a settlement amount of Rs. 1,55,136.48, which includes the principal amount of Rs. 1,50,000 and interest earned of Rs. 5,136.48.
Since this is a premature withdrawal, no interest has been paid previously. Therefore, Already Paid Interest = Rs. 0.</t>
  </si>
  <si>
    <t>Premature Withdrawal Calculation for FD
FD Details:
- Principal: Rs. 1,50,000
- Booking Date: 10 Feb 2025
- Contracted Tenure: 2 years
- Contracted Rate: 6.95% p.a. (regular citizen)
- Payout Type: Cumulative
- Citizenship: Regular
Premature Withdrawal Details:
- Withdrawal Date: 1 Sep 2025
- Holding Days: 203 days
Step 1: Determine Applicable Rate After Penalty
The effective rate for the holding period is 6.35%, and the penalty rate is 0.5%.
Applicable rate after penalty = 6.35% - 0.5% = 5.85%
Step 2: Calculate Tenure in Years
Tenure in years = 203 days / 365 days = 0.5562 years
Rolling year days: 365
Step 3: Calculate Maturity Amount
Formula: A = P x (1 + r/400)^(4 x T)
Where:
- P = Rs. 1,50,000
- r = 5.85% = 5.85
- T = 0.5562 years
Calculation:
A = 1,50,000 x (1 + 5.85/400)^(4 x 0.5562)
= 1,50,000 x (1 + 0.014625)^2.2248
= 1,50,000 x (1.014625)^2.2248
= 1,50,000 x 1.032827
= Rs. 1,54,924.10
Step 4: Calculate Interest Earned
Interest earned = Rs. 1,54,924.10 - Rs. 1,50,000 = Rs. 4,924.10
Settlement Amount: 
You will receive a settlement amount of Rs. 1,54,924.10, which includes the principal amount of Rs. 1,50,000 and interest earned of Rs. 4,924.10.
Since this is a premature withdrawal, no interest has been paid previously. 
The final settlement amount is Rs. 1,54,924.10.</t>
  </si>
  <si>
    <t>Premature Withdrawal Calculation for Half-Yearly Payout FD:
You booked a Rs. 4,00,000 half-yearly payout FD on 1 Oct 2023 for 3 years at 7.7% p.a. as a regular citizen. However, you closed it prematurely on 15 April 2025 after receiving 3 half-yearly payouts.
**Step 1: Determine Applicable Interest Rate After Penalty**
The effective rate for the holding period was 7.75%, but a penalty of 0.5% was applied. 
Applicable rate after penalty = 7.75% - 0.5% = 7.2%
**Step 2: Calculate Total Interest at Penal Rate**
Interest = Principal x Rate x (Holding Days / Rolling Year Days)
= Rs. 4,00,000 x (7.2/100) x (562/366)
= Rs. 4,00,000 x 0.072 x 1.536
= Rs. 4,00,000 x 0.110592
= Rs. 44,222.95
**Step 3: Calculate Already Paid Interest (Completed Periods Only)**
You received 3 half-yearly payouts, totaling Rs. 46,200.
**Step 4: Calculate Net Interest After Adjustment**
Net interest = Total interest at penal rate - Already paid interest
= Rs. 44,222.95 - Rs. 46,200.00
= Rs. -1,977.05
**Step 5: Calculate Settlement Amount**
Settlement amount = Principal + Net interest
= Rs. 4,00,000.00 + Rs. -1,977.05
= Rs. 3,98,022.95
**Settlement Summary:**
- Interest Earned: Rs. -1,977.05
- Settlement Amount: Rs. 3,98,022.95
- Already Paid Interest: Rs. 46,200
Your settlement amount after premature withdrawal on 15 April 2025 is Rs. 3,98,022.95.</t>
  </si>
  <si>
    <t>## Premature Withdrawal Settlement Calculation
### FD Details
- Principal: Rs. 4,00,000
- Booking Date: 1 Oct 2023
- Withdrawal Date: 15 April 2025
- Contracted Tenure: 3 years
- Payout Type: Half-yearly payout
- Citizenship: Regular citizen
### Premature Withdrawal Calculation
#### Step 1: Determine Applicable Interest Rate After Penalty
- Effective Rate for Holding Period: 7.75%
- Penalty Rate: 0.5%
- Applicable Rate After Penalty = 7.75% - 0.5% = 7.2%
#### Step 2: Calculate Total Interest at Penal Rate
- Principal (P): Rs. 4,00,000
- Applicable Rate (r): 7.2%
- Holding Days: 562
- Rolling Year Days: 365
Interest = P x (r/100) x (holding_days / rolling_year_days)
Interest = 4,00,000 x (7.2/100) x (562 / 365)
Interest = 4,00,000 x 0.072 x (562 / 365)
Interest = 4,00,000 x 0.072 x 1.538356
Interest = 4,00,000 x 0.11076
Interest = Rs. 44,344.11
#### Step 3: Calculate Already Paid Interest
- Already paid interest (completed periods only): Rs. 46,242.19
#### Step 4: Calculate Net Interest After Adjustment
Net Interest = Total Interest at Penal Rate - Already Paid Interest
Net Interest = Rs. 44,344.11 - Rs. 46,242.19
Net Interest = Rs. -1,898.08
#### Step 5: Calculate Settlement Amount
Settlement Amount = Principal + Net Interest
Settlement Amount = Rs. 4,00,000 + Rs. -1,898.08
Settlement Amount = Rs. 3,98,101.92
### Settlement Summary
- Interest Earned: Rs. -1,898.08
- Settlement Amount: Rs. 3,98,101.92
- Already Paid Interest: Rs. 46,242.19
You will receive a settlement amount of **Rs. 3,98,101.92** upon premature withdrawal of your FD on 15 April 2025.</t>
  </si>
  <si>
    <t>Premature Withdrawal Calculation for Half-Yearly Payout FD
## Step 1: Determine Applicable Interest Rate After Penalty
The contracted rate is 7.75%, and a penalty of 0.5% is applied.
Applicable rate after penalty = 7.75% - 0.5% = 7.25%
## Step 2: Calculate Total Interest at Penal Rate
Principal (P) = Rs. 4,00,000
Applicable rate (r) = 7.25%
Holding days = 562
Rolling year days = 366
Interest = P x (r/100) x (holding_days / rolling_year_days)
Interest = 4,00,000 x (7.25/100) x (562 / 366)
Interest = 4,00,000 x 0.0725 x 1.53552
Interest = 4,00,000 x 0.1113
Interest = Rs. 44,530.05
## Step 3: Calculate Already Paid Interest
Already paid interest (completed periods) = Rs. 46,500
## Step 4: Calculate Net Interest After Adjustment
Net interest = Total interest at penal rate - Already paid interest
Net interest = Rs. 44,530.05 - Rs. 46,500
Net interest = Rs. -1,969.95
## Step 5: Calculate Settlement Amount
Settlement amount = Principal + Net interest
Settlement amount = Rs. 4,00,000 + Rs. -1,969.95
Settlement amount = Rs. 3,98,030.05
## Summary
- Interest Earned: Rs. -1,969.95
- Settlement Amount: Rs. 3,98,030.05
- Already Paid Interest: Rs. 46,500
You will receive a settlement amount of Rs. 3,98,030.05 upon premature closure of your FD on 15 April 2025.</t>
  </si>
  <si>
    <t>Premature Withdrawal Calculation for Half-Yearly Payout FD:
## Step 1: Determine Applicable Interest Rate After Penalty
The effective rate for the holding period is 7.75%, and the penalty rate is 0.5%. 
Applicable rate after penalty = 7.75% - 0.5% = 7.2%
## Step 2: Calculate Total Interest at Penal Rate
Given:
- Principal (P) = Rs. 4,00,000
- Applicable rate (r) = 7.2%
- Holding days = 562
- Rolling year days = 366
Interest = P x (r/100) x (holding_days / rolling_year_days)
Interest = 4,00,000 x (7.2/100) x (562 / 366)
Interest = 4,00,000 x 0.072 x (562 / 366)
Interest = 4,00,000 x 0.072 x 1.53552
Interest = 4,00,000 x 0.1105544
Interest = Rs. 44,221.76
## Step 3: Calculate Already Paid Interest
Already paid interest = Rs. 46,200
## Step 4: Calculate Net Interest After Adjustment
Net interest = Total interest at penal rate - Already paid interest
Net interest = Rs. 44,221.76 - Rs. 46,200
Net interest = Rs. -1,978.24
## Step 5: Calculate Settlement Amount
Settlement amount = Principal + Net interest
Settlement amount = Rs. 4,00,000 + Rs. -1,978.24
Settlement amount = Rs. 3,98,021.76
## Premature Withdrawal Settlement Summary
- Principal: Rs. 4,00,000
- Total Interest at Penal Rate: Rs. 44,221.76
- Already Paid Interest: Rs. 46,200
- Net Interest: Rs. -1,978.24
- Settlement Amount: **Rs. 3,98,021.76**
You will receive a settlement amount of **Rs. 3,98,021.76** upon premature closure of your FD on 15 April 2025.</t>
  </si>
  <si>
    <t>Premature Withdrawal Calculation for FD
Principal: Rs. 50,000
Booking Date: 1 March 2025
Withdrawal Date: 5 March 2025
Holding Days: 4 days
Step 1: Determine Applicable Rate After Penalty
Applicable Rate After Penalty = 0.0% (Contracted Rate: 6.75% - Penalty Rate: 0.5% = 6.25%, but effective rate for 4 days is 0.0%)
Step 2: Calculate Tenure in Years
Tenure in Years = 4 days / 365 days = 0.0110 years
Step 3: Calculate Maturity Amount
Maturity Amount = Principal x (1 + Applicable Rate/400)^(4 x Tenure)
= Rs. 50,000 x (1 + 0.0/400)^(4 x 0.0110)
= Rs. 50,000 x (1 + 0.0)^(0.0440)
= Rs. 50,000 x 1.000000
= Rs. 50,000.00
Step 4: Calculate Interest Earned
Interest Earned = Maturity Amount - Principal
= Rs. 50,000.00 - Rs. 50,000.00
= Rs. 0.00
Premature Withdrawal Results:
- Interest Earned: Rs. 0
- Settlement Amount: Rs. 50,000
- Already Paid Interest: Rs. 0
You will receive Rs. 50,000 on premature withdrawal of your FD on 5 March 2025, with no interest earned.</t>
  </si>
  <si>
    <t>Premature Withdrawal Calculation for FD
Principal: Rs. 50,000
Booking Date: 1 March 2025
Withdrawal Date: 5 March 2025
Holding Days: 4 days
Step 1: Determine Applicable Rate After Penalty
The effective rate for the holding period is 0.0%.
Penalty rate applied: 0.5%
Applicable rate after penalty = 0.0% - 0.5% = 0.0%
Step 2: Calculate Tenure in Years
Tenure = 4 days / 365 days = 0.0110 years
Step 3: Calculate Maturity Amount
Formula: A = P x (1 + r/400)^(4xT)
Where:
- P = Rs. 50,000
- r = 0.0% (after penalty)
- T = 0.0110 years
Calculation:
A = 50,000 x (1 + 0.0/400)^(4 x 0.0110)
A = 50,000 x (1 + 0.0)^(0.0440)
A = 50,000 x 1.000000
A = Rs. 50,000
Step 4: Calculate Interest Earned
Interest Earned = Maturity Amount - Principal
= Rs. 50,000 - Rs. 50,000
= Rs. 0.00
Premature Withdrawal Results:
- Interest Earned: Rs. 0
- Settlement Amount: Rs. 50,000
- Already Paid Interest: Rs. 0
You will receive Rs. 50,000 on premature withdrawal of your FD on 5 March 2025, with no interest earned.</t>
  </si>
  <si>
    <t>Premature Withdrawal Calculation for FD
Principal: Rs. 50,000
Booking Date: 1 March 2025
Withdrawal Date: 5 March 2025
Holding Days: 4 days
Step 1: Determine Applicable Rate After Penalty
Applicable Rate After Penalty = 0.0% (Contracted Rate: 6.75% - Penalty Rate: 0.5% = 0.0%)
Step 2: Calculate Tenure in Years
Tenure in Years = 4 days / 365 days = 0.0110 years
Step 3: Calculate Maturity Amount
Formula: A = P x (1 + r/400)^(4xT)
Where:
P = Rs. 50,000
r = 0.0% (Applicable Rate After Penalty)
T = 0.0110 years
Calculation:
A = 50,000 x (1 + 0.0/400)^(4 x 0.0110)
A = 50,000 x (1 + 0.0)^(0.044)
A = 50,000 x 1.000000
A = Rs. 50,000.00
Step 4: Calculate Interest Earned
Interest Earned = Maturity Amount - Principal
= Rs. 50,000.00 - Rs. 50,000.00
= Rs. 0.00
Premature Withdrawal Results:
- Interest Earned: Rs. 0
- Settlement Amount: Rs. 50,000
- Already Paid Interest: Rs. 0
You will receive Rs. 50,000 on premature withdrawal of your FD on 5 March 2025, with no interest earned.</t>
  </si>
  <si>
    <t>## Premature Withdrawal Calculation for NRI Senior Citizen
### FD Details
- **Principal (P)**: Rs. 50,00,00,000
- **Booking Date**: 1 Jan 2024
- **Withdrawal Date**: 30 June 2025
- **Holding Days**: 546 days
- **Applicable Rate After Penalty**: 7.75%
- **Rolling Year Days**: 366
### Calculation Steps
#### Step 1: Determine Applicable Interest Rate After Penalty
- **Effective Rate**: 8.3%
- **Penalty Rate**: 0.5%
- **Applicable Rate After Penalty**: 8.3% - 0.5% = 7.75%
#### Step 2: Calculate Tenure in Years
- **Holding Days**: 546 days
- **Rolling Year Days**: 366 days
- **Tenure in Years (T)**: 546 / 366 = 1.4918 years
#### Step 3: Calculate Maturity Amount
- **Formula**: A = P x (1 + r/400)^(4 x T)
- **P**: Rs. 50,00,00,000
- **r**: 7.75%
- **T**: 1.4918 years
- **Calculation**:
  1. r/400 = 7.75 / 400 = 0.019375
  2. 1 + 0.019375 = 1.019375
  3. 4 x T = 4 x 1.4918 = 5.9672
  4. (1.019375)^5.9672 = 1.121323
  5. A = Rs. 50,00,00,000 x 1.121323 = Rs. 56,06,61,364.25
#### Step 4: Calculate Interest Earned
- **Interest Earned**: A - P = Rs. 56,06,61,364.25 - Rs. 50,00,00,000 = Rs. 6,06,61,364.25
### Final Results
- **Interest Earned**: Rs. 6,06,61,364.25
- **Settlement Amount**: Rs. 56,06,61,364.25
- **Already Paid Interest**: Rs. 0
### Summary
You will receive a settlement amount of **Rs. 56,06,61,364.25**, which includes an interest of **Rs. 6,06,61,364.25** earned over 546 days.</t>
  </si>
  <si>
    <t>## Premature Withdrawal Calculation for NRI Senior Citizen
### FD Details
- **Principal (P)**: Rs. 50,00,00,000
- **Booking Date**: 1 Jan 2024
- **Withdrawal Date**: 30 June 2025
- **Holding Days**: 546 days
- **Applicable Rate After Penalty**: 7.75%
- **Rolling Year Days**: 365
### Calculation Steps
#### Step 1: Determine Applicable Interest Rate After Penalty
- **Effective Rate**: 8.3%
- **Penalty Rate**: 0.5%
- **Applicable Rate After Penalty**: 8.3% - 0.5% = 7.75%
#### Step 2: Calculate Tenure in Years
- **Holding Days**: 546 days
- **Rolling Year Days**: 365
- **Tenure (T)**: 546 / 365 = 1.4959 years
#### Step 3: Calculate Maturity Amount
- **Formula**: A = P x (1 + r/400)^(4 x T)
- **P**: Rs. 50,00,00,000
- **r**: 7.75%
- **T**: 1.4959 years
- **Calculation**:
  1. r/400 = 7.75 / 400 = 0.019375
  2. 1 + 0.019375 = 1.019375
  3. 4 x T = 4 x 1.4959 = 5.9836
  4. (1.019375)^5.9836 = 1.121675
  5. A = Rs. 50,00,00,000 x 1.121675 = Rs. 56,08,37,284.36
#### Step 4: Calculate Interest Earned
- **Interest Earned**: A - P = Rs. 56,08,37,284.36 - Rs. 50,00,00,000 = Rs. 6,08,37,284.36
### Settlement Details
- **Interest Earned**: Rs. 6,08,37,284.36
- **Settlement Amount**: Rs. 56,08,37,284.36
- **Already Paid Interest**: Rs. 0
### Summary
You will receive a settlement amount of **Rs. 56,08,37,284.36**, which includes an interest of **Rs. 6,08,37,284.36** earned over 546 days with an applicable rate of 7.75% after penalty.</t>
  </si>
  <si>
    <t>Premature Withdrawal Calculation for NRI Senior Citizen FD
## Step 1: Determine Applicable Interest Rate After Penalty
The contracted rate is 8.3%, and a penalty of 0.5% is applied.
Applicable rate after penalty = 8.3% - 0.5% = 7.800000000000001%
## Step 2: Calculate Tenure in Years
Holding days = 546 days
Rolling year days = 366
Tenure in years = 546 / 366 = 1.4918 years
## Step 3: Calculate Maturity Amount
Principal (P) = Rs. 5,00,00,00,000
Applicable rate (r) = 7.800000000000001%
Tenure (T) = 1.4918 years
Formula: A = P x (1 + r/400)^(4 x T)
= 5,00,00,00,000 x (1 + 7.800000000000001/400)^(4 x 1.4918)
## Step 4: Execute Calculation
Step 1: r/400 = 7.800000000000001 / 400 = 0.0195
Step 2: 1 + 0.0195 = 1.0195
Step 3: 4 x T = 4 x 1.4918 = 5.9672
Step 4: (1.0195)^5.9672 = 1.122143
Step 5: A = 5,00,00,00,000 x 1.122143 = Rs. 5,61,07,17,38.85
## Step 5: Calculate Interest Earned
Interest earned = Maturity amount - Principal
= Rs. 5,61,07,17,38.85 - Rs. 5,00,00,00,000
= Rs. 61,07,17,38.85
## Final Results
- **Interest Earned**: Rs. 61,07,17,38.85
- **Settlement Amount**: Rs. 5,61,07,17,38.85
- **Already Paid Interest**: Rs. 0
You will receive a settlement amount of **Rs. 5,61,07,17,38.85**, having earned **Rs. 61,07,17,38.85** in interest.</t>
  </si>
  <si>
    <t>Premature Withdrawal Calculation for NRI Senior Citizen FD
## Step 1: Determine Applicable Interest Rate After Penalty
The effective rate for the holding period is 8.3%, and the penalty rate is 0.5%. 
Applicable rate after penalty = 8.3% - 0.5% = 7.75%
## Step 2: Calculate Tenure in Years
The holding days are 546, and the rolling year days are 366.
Tenure in years = 546 days / 366 days = 1.4918 years
## Step 3: Calculate Maturity Amount
The formula for calculating the maturity amount is:
A = P x (1 + r/400)^(4 x T)
Where:
- P = Rs. 5,00,00,00,000 (not 500,000,000, assuming a typo, using 5,00,00,00,000)
- r = 7.75%
- T = 1.4918 years
Calculation:
Step 1: r/400 = 7.75 / 400 = 0.019375
Step 2: 1 + 0.019375 = 1.019375
Step 3: 4 x T = 4 x 1.4918 = 5.9672
Step 4: (1.019375)^5.9672 = 1.121323
Step 5: A = Rs. 5,00,00,00,000 x 1.121323 = Rs. 5,60,66,13,64.25
## 4: Calculate Interest Earned
Interest earned = Maturity amount - Principal
= Rs. 5,60,66,13,64.25 - Rs. 5,00,00,00,000
= Rs. 60,66,13,64.25
## Final Results
- **Interest Earned**: Rs. 60,66,13,64.25
- **Settlement Amount**: Rs. 5,60,66,13,64.25
- **Already Paid Interest**: Rs. 0
You will receive a settlement amount of **Rs. 5,60,66,13,64.25**, which includes an interest of **Rs. 60,66,13,64.25** earned over the 546-day period.</t>
  </si>
  <si>
    <t>Premature Withdrawal Calculation for FD
FD Details:
- Principal: Rs. 2,00,000
- Start Date: 1 Apr 2024
- Tenure: 2 years (monthly payout)
- Contracted Rate: 7.25% p.a.
- Citizenship: Regular Citizen
- Payout Type: Monthly Payout
Premature Withdrawal Details:
- Withdrawal Date: 1 Oct 2024
- Holding Days: 183 days
- Effective Rate for Holding Period: 6.95%
- Penalty Rate: 0.5%
- Applicable Rate After Penalty: 6.45%
- Rolling Year Days: 365
### Premature Withdrawal Calculation
#### Step 1: Determine Applicable Interest Rate After Penalty
Applicable Rate After Penalty = Effective Rate for Holding Period - Penalty Rate  
= 6.95% - 0.5%  
= 6.45%
#### Step 2: Calculate Total Interest at Penal Rate
Interest = Principal x (Applicable Rate After Penalty / 100) x (Holding Days / Rolling Year Days)  
= Rs. 2,00,000 x (6.45 / 100) x (183 / 365)  
= Rs. 2,00,000 x 0.0645 x 0.50137  
= Rs. 2,00,000 x 0.0323  
= Rs. 6,467.67
#### Step 3: Calculate Already Paid Interest
Already paid interest (for 6 completed months): Rs. 7,269.86
#### Step 4: Calculate Net Interest After Adjustment
Net Interest = Total Interest at Penal Rate - Already Paid Interest  
= Rs. 6,467.67 - Rs. 7,269.86  
= - Rs. 802.19
#### Step 5: Calculate Settlement Amount
Settlement Amount = Principal + Net Interest  
= Rs. 2,00,000 + (- Rs. 802.19)  
= Rs. 1,99,197.81
### Final Settlement Details
- **Interest Earned**: - Rs. 802.19
- **Settlement Amount**: Rs. 1,99,197.81
- **Already Paid Interest**: Rs. 7,269.86
You will receive a settlement amount of Rs. 1,99,197.81 upon premature closure of your FD on 1 Oct 2024.</t>
  </si>
  <si>
    <t>Premature Withdrawal Calculation for FD
FD Details:
- Principal: Rs. 2,00,000
- Start Date: 1 Apr 2024
- Tenure: 2 years (monthly payout)
- Contracted Rate: 7.25% p.a.
- Citizenship: Regular Citizen
- Payout Type: Monthly Payout
Premature Withdrawal Details:
- Withdrawal Date: 1 Oct 2024
- Holding Days: 183 days
- Effective Rate for Holding Period: 7.0%
- Penalty Rate: 0.5%
- Applicable Rate After Penalty: 6.5%
- Rolling Year Days: 365
### Premature Withdrawal Calculation
#### Step 1: Determine Applicable Interest Rate After Penalty
Applicable Rate After Penalty = Effective Rate - Penalty Rate  
= 7.0% - 0.5%  
= 6.5%
#### Step 2: Calculate Total Interest at Penal Rate
Interest = Principal x (Applicable Rate / 100) x (Holding Days / Rolling Year Days)  
= Rs. 2,00,000 x (6.5 / 100) x (183 / 365)  
= Rs. 2,00,000 x 0.065 x 0.50137  
= Rs. 2,00,000 x 0.032589  
= Rs. 6,517.81
#### Step 3: Calculate Already Paid Interest
Already Paid Interest = Rs. 7,269.86 (from completed periods)
#### Step 4: Calculate Net Interest After Adjustment
Net Interest = Total Interest at Penal Rate - Already Paid Interest  
= Rs. 6,517.81 - Rs. 7,269.86  
= - Rs. 752.05
#### Step 5: Calculate Settlement Amount
Settlement Amount = Principal + Net Interest  
= Rs. 2,00,000 + (- Rs. 752.05)  
= Rs. 1,99,247.95
### Final Settlement Details
- **Interest Earned**: - Rs. 752.05
- **Settlement Amount**: Rs. 1,99,247.95
- **Already Paid Interest**: Rs. 7,269.86
On premature withdrawal on 1 Oct 2024, you will receive a settlement amount of **Rs. 1,99,247.95**, having earned a net interest of **- Rs. 752.05** after adjusting for the already paid interest of **Rs. 7,269.86**.</t>
  </si>
  <si>
    <t>Query: "I surrendered my FD on 1 May 2025. Booked Rs. 80,000 on 1 November 2024 for 18 months, senior citizen, cumulative. What proceeds do I receive?"
FD Type: Cumulative
Principal: Rs. 80,000
Booking Date: 1 November 2024
Surrender Date: 1 May 2025
Holding Period: 181 days
As this is a premature withdrawal, we need to calculate the interest earned and settlement amount.
**Step 1: Determine Applicable Rate After Penalty**
Contracted Rate: 8.05% p.a. (senior citizen)
Effective Rate for Holding Period: 7.45% p.a.
Penalty Rate: 0.5% p.a.
Applicable Rate After Penalty = 7.45% - 0.5%
= 6.95%
**Step 2: Calculate Tenure in Years**
Holding Period: 181 days
Rolling Year Days: 365
Tenure in Years = 181 / 365
= 0.4959 years
**Step 3: Calculate Maturity Amount**
Formula: A = P x (1 + r/400)^(4 x T)
P = Rs. 80,000
r = 6.95% (after penalty)
T = 0.4959 years
Step 3.1: Calculate (1 + r/400)
= 1 + (6.95 / 400)
= 1 + 0.017375
= 1.017375
Step 3.2: Calculate (4 x T)
= 4 x 0.4959
= 1.9836
Step 3.3: Calculate (1.017375)^1.9836
= 1.034759
Step 3.4: Calculate Maturity Amount
= Rs. 80,000 x 1.034759
= Rs. 82,780.71
**Step 4: Calculate Interest Earned**
Interest Earned = Rs. 82,780.71 - Rs. 80,000
= Rs. 2,780.71
**Final Results**
* Interest Earned: Rs. 2,780.71
* Settlement Amount: Rs. 82,780.71
* Already Paid Interest: Rs. 0
You will receive Rs. 82,780.71 as the settlement amount for your premature withdrawal.</t>
  </si>
  <si>
    <t>Query: "I surrendered my FD on 1 May 2025. Booked Rs. 80,000 on 1 November 2024 for 18 months, senior citizen, cumulative. What proceeds do I receive?"
FD Type: Cumulative
Principal: Rs. 80,000
Booking Date: 1 November 2024
Surrender Date: 1 May 2025
Holding Period: 181 days
Step 1: Determine applicable interest rate after penalty
Calculation: Effective Rate - Penalty Rate
= 7.5% - 0.5%
= 7.0%
Step 2: Calculate tenure in years
Calculation: 181 days / 365 days
= 0.4959 years
Rolling year days: 365
Step 3: Calculate maturity amount
Formula: A = P x (1 + r/400)^(4 x T)
= 80,000 x (1 + 7.0/400)^(4 x 0.4959)
= 80,000 x (1 + 0.0175)^(1.9836)
= 80,000 x (1.0175)^1.9836
= 80,000 x 1.035011
= Rs. 82,800.88
Step 4: Calculate interest earned
Calculation: Maturity Amount - Principal
= Rs. 82,800.88 - Rs. 80,000
= Rs. 2,800.88
Since this is a premature withdrawal, there are no previous interest payouts to consider.
Settlement Amount: Rs. 82,800.88
You will receive Rs. 82,800.88 as the settlement amount for your surrendered FD.</t>
  </si>
  <si>
    <t>Query: "I surrendered my FD on 1 May 2025. Booked Rs. 80,000 on 1 November 2024 for 18 months, senior citizen, cumulative. What proceeds do I receive?"
FD Type: Cumulative
Principal: Rs. 80,000
Booking Date: 1 November 2024
Surrender Date: 1 May 2025
Holding Period: 181 days
As this is a premature withdrawal, we need to calculate the applicable interest rate after penalty.
Step 1: Determine applicable interest rate after penalty
Calculation: 7.45% - 0.5% = 6.95%
Step 2: Calculate tenure in years
Calculation: 181 days / 365 days = 0.4959 years
Rolling year days: 365
Step 3: Calculate maturity amount
Formula: A = P x (1 + r/400)^(4 x T)
Where P = Rs. 80,000, r = 6.95%, T = 0.4959 years
Calculation: 
A = 80,000 x (1 + 6.95/400)^(4 x 0.4959)
A = 80,000 x (1 + 0.017375)^(1.9836)
A = 80,000 x (1.017375)^1.9836
A = 80,000 x 1.034759
A = Rs. 82,780.71
Step 4: Calculate interest earned
Calculation: Rs. 82,780.71 - Rs. 80,000 = Rs. 2,780.71
Since this is a premature withdrawal, there are no previous interest payouts to consider.
Settlement Amount: Rs. 82,780.71
You will receive Rs. 82,780.71 as the settlement amount for your prematurely withdrawn FD.</t>
  </si>
  <si>
    <t>FD booking period: Between Feb 12, 2024 - Nov 11, 2024
Tenure: 3 years
You booked a Rs. 1,00,000 FD on 23 Sep 2024 for 3 years as a senior citizen. 
The first quarterly interest period is: 23 Sep 2024 to 23 Dec 2024 (91 days)
Rolling year days: 365
Interest = Principal x Rate x (Days / Year)
Interest = 1,00,000 x 0.08 x (91 / 365)
Interest = Rs. 1,994.52
You mentioned that you received only Rs. 1,596 at the end of Q1.
Let's check the TDS scenarios:
Gross Interest:          Rs. 1,994.52
After 0%  TDS (Form 15H/15G): Rs. 1,994.52
After 5%  TDS:           Rs. 1,894.79
After 10% TDS (PAN):     Rs. 1,795.07
After 20% TDS (no PAN):  Rs. 1,595.62
Your received amount of Rs. 1,596 matches the 20% TDS scenario.
Gross Rs. 1,994.52 â†’ TDS Rs. 399.90 â†’ Net Rs. 1,594.62.
âš ï¸ Your received amount of Rs. 1,596 does not exactly match but is very close to the 20% TDS scenario.
Here is what you should have received under each scenario:
Gross Interest:    Rs. 1,994.52
0%  TDS:           Rs. 1,994.52
5%  TDS:           Rs. 1,894.79
10% TDS:           Rs. 1,795.07
20% TDS:           Rs. 1,595.62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</si>
  <si>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FD booking period: Between Sep 12, 2024 - Mar 14, 2025 
Tenure: 1 to &lt;2 years -&gt; Not used; specific period query
Rolling year days: 365
You received Rs. 1,596 at the end of Q1. Let's verify:
Interest = Principal x Rate x (Days / Year)
Interest = 1,00,000 x 0.08 x (91 / 365)
Interest = Rs. 1,994.52
Gross Interest:          Rs. 1,994.52
After 0%  TDS (Form 15H/15G): Rs. 1,994.52
After 5%  TDS:           Rs. 1,894.79
After 10% TDS (PAN):     Rs. 1,795.07
After 20% TDS (no PAN):  Rs. 1,595.62
Your received amount of Rs. 1,596 matches the 20% TDS scenario.
Gross Rs. 1,994.52 â†’ TDS Rs. 399.90 â†’ Net Rs. 1,594.62.
TDS was deducted at 20% as PAN may not be linked. Please link your PAN with the bank to reduce TDS to 10%.</t>
  </si>
  <si>
    <t>FD booking period: Between Nov 12, 2024 - Jun 14, 2025
Tenure: 2 years
âš ï¸ Rate Correction: You mentioned no rate but the applicable rate for your FD (2 years, senior citizen, booked 2025-01-01) is 7.45% p.a. as per the rate card.
Interest calculation for the quarter: 2026-01-01 to 2026-04-01
Rolling year days: 365
Interest = Principal x Rate x (Days / Year)
Interest = 2,00,000 x 0.0745 x (90 / 365)
Interest = Rs. 3,673.97
You received Rs. 3,493 this quarter.
Let's check the TDS scenarios:
Gross Interest:          Rs. 3,673.97
After 0%  TDS (Form 15H/15G): Rs. 3,673.97
After 10% TDS (PAN):     Rs. 3,306.58
After 20% TDS (no PAN):  Rs. 2,939.18
Computing delta = abs(each scenario - 3,493):
- 0% TDS:   |3,673.97 - 3,493| = 180.97
- 10% TDS:  |3,306.58 - 3,493| = 186.42
- 20% TDS:  |2,939.18 - 3,493| = 553.82
The smallest delta is 180.97 (0% TDS scenario).
âœ… Your received amount of Rs. 3,493 matches the 5% TDS scenario.
Gross Rs. 3,683.97 â†’ TDS Rs. 190.99 â†’ Net Rs. 3,493.
Since you submitted Form 15H and no TDS was deducted (as per 0% TDS match), your Form 15H is working correctly, and no TDS was deducted.</t>
  </si>
  <si>
    <t>FD booking period: Between Dec 27, 2024 - Jun 14, 2025
# â†‘ This comes from "Rate Source" in FD DETAILS. Format: "Rate card: 27-Dec-2024 to 14-Jun-2025" â†’ "Between Dec 27, 2024 - Jun 14, 2025"
Tenure: 2 years -&gt; 7.45% (senior citizen)
Quarterly payout FD -&gt; exact days per quarter
Rolling year days: 365
You are a senior citizen, and your FD details are:
Principal (P): Rs. 2,00,000
Start date: 1 January 2025
Maturity: 1 January 2027
Senior citizen rate: 7.45% p.a.
Type: Quarterly payout FD
The current period is: 2026-01-01 to 2026-04-01 (90 days)
Interest = Principal x Rate x (Days / Year)
Interest = 2,00,000 x 0.0745 x (90 / 365)
Interest = Rs. 3,673.97
âœ… Your received amount of Rs. 3,493 matches the 5% TDS scenario.
Gross Rs. 3,673.97 â†’ TDS Rs. 180.99 â†’ Net Rs. 3,493.
Since you submitted Form 15H, your interest payout is as expected. 
The interest payout has been made as per the specified TDS rate.</t>
  </si>
  <si>
    <t>âš ï¸ Rate Correction: You mentioned an expected interest of Rs. 2,200 per quarter, implying an interest rate of approximately 8.8% p.a., but the applicable rate for your FD (3 years, regular citizen, booked on 1 April 2025) is 6.8% p.a. as per the rate card. All calculations below use 6.8%.
FD booking period: "Between Nov 12, 2024 - Jun 14, 2025"
Tenure: 3 years
You booked a quarterly payout FD of Rs. 1,00,000 on 1 April 2025. The first quarterly interest period is:
1 April 2025 -&gt; 1 July 2025 (91 days)
Rolling year days: 365
Interest = Principal x Rate x (Days / Year)
Interest = 1,00,000 x 0.068 x (91 / 365)
Interest = Rs. 1,695.34
This is the gross interest. 
You mentioned receiving only Rs. 1,740, which seems close to but not exactly matching the expected gross amount. Let's check TDS scenarios:
Gross Interest:          Rs. 1,695.34
After 0%  TDS (Form 15H/15G): Rs. 1,695.34
After 5%  TDS:           Rs. 1,610.57
After 10% TDS (PAN):     Rs. 1,525.81
After 20% TDS (no PAN):  Rs. 1,356.27
Your received amount of Rs. 1,740 does not match any standard TDS rate.
Here is what you should have received under each scenario:
Gross Interest:    Rs. 1,695.34
0%  TDS:           Rs. 1,695.34
5%  TDS:           Rs. 1,610.57
10% TDS:           Rs. 1,525.81
20% TDS:           Rs. 1,356.27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</si>
  <si>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âš ï¸ Rate Correction: You mentioned an expected quarterly interest of Rs. 2,200, implying an annual rate of approximately 8.8%, but the applicable rate for your FD (3 years, regular citizen, booked on 1 April 2025) is 6.8% p.a. as per the rate card. All calculations below use 6.8%.
FD booking period: Between Mar 22, 2025 - Apr 01, 2025 (exact period not provided, but FD started on 1 April 2025)
Tenure: 3 years
Type: Quarterly payout FD
Principal (P): Rs. 1,00,000
Rate: 6.8% p.a.
Calculation:
Interest = Principal x Rate x (Days / Year)
Let's check the first quarter:
Period 1: 2025-04-01 to 2025-07-01 (91 days, rolling_year=365)
Interest = 1,00,000 x 0.068 x (91 / 365)
Interest = 1,00,000 x 0.068 x 0.249315
Interest = 1,00,000 x 0.01695582
Interest = Rs. 1,695.58 (approximately, use exact value from calculation results)
You received Rs. 1,740, let's check TDS scenarios:
Period 1 Gross Interest: Rs. 1,695.34
- After 0% TDS: Rs. 1,695.34
- After 10% TDS: Rs. 1,525.81
- After 20% TDS: Rs. 1,356.27
Your received amount of Rs. 1,740 does not match any standard TDS rate.
Here is what you should have received under each scenario:
Gross Interest:    Rs. 1,695.34
0%  TDS:           Rs. 1,695.34
5%  TDS:           Rs. 1,610.57
10% TDS:           Rs. 1,525.81
20% TDS:           Rs. 1,356.27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</si>
  <si>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âš ï¸ Rate Correction: You mentioned no specific rate but the applicable rate for your FD (2 years, senior citizen, booked 2025-01-01) is 7.45% p.a. as per the rate card.
All calculations below use 7.45%.
FD booking period: "Between Nov 12, 2024 - Jun 14, 2025"
Tenure: 2 years
Payout Type: Quarterly Payout FD
Citizenship: Senior Citizen
You received Rs. 3,143 on your FD. Let's calculate and see why.
Period 1: 2025-01-01 to 2025-04-01 (90 days, rolling_year=365)
Interest = Principal x Rate x (Days / Year)
= 2,00,000 x 0.0745 x (90 / 365)
= 2,00,000 x 0.0745 x 0.246575
= Rs. 3,673.97
Showing all TDS scenarios for your received amount:
Gross Interest:          Rs. 3,673.97
After 0%  TDS (Form 15H/15G): Rs. 3,673.97
After 5%  TDS:           Rs. 3,490.38
After 10% TDS (PAN):     Rs. 3,306.58
After 20% TDS (no PAN):  Rs. 2,939.18
Your received amount of Rs. 3,143 matches the 20% TDS scenario.
Gross Rs. 3,673.97 â†’ TDS Rs. 630.79 â†’ Net Rs. 3,043.18 (approx.)
âš ï¸ Your received amount of Rs. 3,143 does not match any standard TDS rate.
Here is what you should have received under each scenario:
Gross Interest:    Rs. 3,673.97
0%  TDS:           Rs. 3,673.97
5%  TDS:           Rs. 3,490.38
10% TDS:           Rs. 3,306.58
20% TDS:           Rs. 2,939.18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</si>
  <si>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âš ï¸ Rate Correction: You mentioned no specific rate but the applicable rate for your FD (2 years, senior citizen, booked 2025-01-01) is 7.45% p.a. as per the rate card.
All calculations below use 7.45%.
FD booking period: Between Jan 1, 2025 - Jan 1, 2027
Tenure: 2 years -&gt; 7.45% (senior citizen)
Quarterly payout FD -&gt; exact days per quarter
You received Rs. 3,143 on your FD. Let's calculate the interest.
Period 1: 2025-01-01 to 2025-04-01 (90 days, rolling_year=365)
Interest = Principal x Rate x (Days / Year)
Interest = 2,00,000 x 0.0745 x (90 / 365)
Interest = Rs. 3,673.97
Since you mentioned receiving only Rs. 3,143, let's check the TDS scenarios:
Gross Interest:          Rs. 3,673.97
After 0%  TDS (Form 15H/15G): Rs. 3,673.97
After 5%  TDS:           Rs. 3,490.38
After 10% TDS (PAN):     Rs. 3,306.58
After 20% TDS (no PAN):  Rs. 2,939.18
Your received amount of Rs. 3,143 matches closely with the 10% TDS scenario.
Gross Rs. 3,673.97 â†’ TDS Rs. 367.39 â†’ Net Rs. 3,306.58
However, the delta is not within Rs. 10. Let's check further:
âš ï¸ Your received amount of Rs. 3,143 does not match any standard TDS rate.
Here is what you should have received under each scenario:
Gross Interest:    Rs. 3,673.97
0%  TDS:           Rs. 3,673.97
5%  TDS:           Rs. 3,490.38
10% TDS:           Rs. 3,306.58
20% TDS:           Rs. 2,939.18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</si>
  <si>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FD booking period: Between Nov 12, 2024 - Jun 14, 2025
Tenure: 1 to &lt;2 years -&gt; 6.95% (regular citizen)
Quarterly payout FD -&gt; exact days per quarter
Rolling year days: 365
Interest = Principal x Rate x (Days / Year)
Interest = 3,00,000 x 0.0695 x (90 / 365)
Interest = Rs. 5,141.10
Approx. Rs. 5,141.10 credited at end of first quarter
You received Rs. 2,800 in the first quarter. Let's verify if this matches any TDS scenario:
Gross Interest:          Rs. 5,141.10
After 0%  TDS (Form 15H/15G): Rs. 5,141.10
After 10% TDS (PAN):     Rs. 4,626.99
After 20% TDS (no PAN):  Rs. 4,112.88
Your received amount of Rs. 2,800 does not match any standard TDS rate.
Here is what you should have received under each scenario:
Gross Interest:    Rs. 5,141.10
0%  TDS:           Rs. 5,141.10
10% TDS:           Rs. 4,626.99
20% TDS:           Rs. 4,112.88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</si>
  <si>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FD booking period: Between Jan 12, 2025 - Jan 14, 2027 
# â†‘ This comes from "Rate Source" in FD DETAILS. Format: "Rate card: 12-Jan-2025 to 14-Jan-2027" â†’ "Between Jan 12, 2025 - Jan 14, 2027"
Tenure: 1 to &lt;2 years -&gt; 6.95% (regular citizen)
Quarterly payout FD -&gt; exact days per quarter
Rolling year days: 365
Interest = Principal x Rate x (Days / Year)
Interest = 3,00,000 x 0.0695 x (90 / 365)
Interest = Rs. 5,141.10
Approx. Rs. 5,141.10 credited at end of first quarter
You received Rs. 2,800 in the first quarter. Let's verify:
âœ… Your received amount of Rs. 2,800 does not match the gross interest.
Here is what you should have received under each scenario:
Gross Interest:    Rs. 5,141.10
0%  TDS:           Rs. 5,141.10
5%  TDS:           Rs. 4,884.05
10% TDS:           Rs. 4,626.99
20% TDS:           Rs. 4,112.88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</si>
  <si>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 Customer Type | NRI Status | Deposit Amount | Best Tenure | Rate |
|---------------|------------|----------------|-------------|------|
| Senior        | NRI        | &lt;3CR           | 444-444 days | 7.3  |
| Senior        | NRI        | &gt;=3CR          | 444-444 days | 7.15 |
| Senior        | Non NRI    | &lt;3CR           | 444-444 days | 7.1  |
| Senior        | Non NRI    | &gt;=3CR          | 444-444 days | 6.85 |
The highest interest rate of 7.3% is offered to Senior NRI customers with deposits less than 3CR for a tenure of 444-444 days.</t>
  </si>
  <si>
    <t>To compare FD interests accurately, I need:
1. **FD booking date** - When do you plan to book this FD? (e.g., today, 10-Mar-2025)
You mentioned investing Rs. 5 lakhs for 2 or 3 years. Let me know the booking date to help you decide which one gives more interest.</t>
  </si>
  <si>
    <t>To help you decide, I need:
1. **FD booking date** - When do you plan to book this FD? (e.g., today, 10-Mar-2025)
You mentioned investing Rs. 5 lakhs for 2-year or 3-year tenure. Let me know when you plan to book it.</t>
  </si>
  <si>
    <t>| Rate | Citizen | Tenure | NRI | Deposit | Priority |
| --- | --- | --- | --- | --- | --- |
| 7.1 | Senior | 444-444 days | Non NRI | &lt;3CR | 1 |
| 7.05 | Senior | 1825-3650 days | Non NRI | &lt;3CR | 2 |
| 6.95 | Senior | 730-1094 days | Non NRI | &lt;3CR | 2 |
| 6.8 | Senior | 1095-1824 days | Non NRI | &lt;3CR | 2 |
| 6.75 | Senior | 365-729 days | Non NRI | &lt;3CR | 2 |
| 6.6 | Regular | 444-444 days | Non NRI | &lt;3CR | 1 |
| 6.45 | Regular | 730-1094 days | Non NRI | &lt;3CR | 2 |
| 6.4 | Senior | 211-364 days | Non NRI | &lt;3CR | 2 |
| 6.3 | Regular | 1095-1824 days | Non NRI | &lt;3CR | 2 |
| 6.25 | Regular | 365-729 days | Non NRI | &lt;3CR | 2 |
| 6.15 | Senior | 180-210 days | Non NRI | &lt;3CR | 2 |
| 6.05 | Regular | 1825-3650 days | Non NRI | &lt;3CR | 2 |
| 5.9 | Regular | 211-364 days | Non NRI | &lt;3CR | 2 |
| 5.65 | Regular | 180-210 days | Non NRI | &lt;3CR | 2 |
| 5.4 | Senior | 46-179 days | Non NRI | &lt;3CR | 2 |
| 4.9 | Regular | 46-179 days | Non NRI | &lt;3CR | 2 |
| 3.55 | Senior | 7-45 days | Non NRI | &lt;3CR | 2 |
| 3.05 | Regular | 7-45 days | Non NRI | &lt;3CR | 2 |
| 0.0 | Regular | 0-6 days | Non NRI | &lt;3CR | 2 |
| 0.0 | Senior | 0-6 days | Non NRI | &lt;3CR | 2 |
The best tenure is 444 days at 7.1% for Senior, Non NRI customers with deposit amount below 3 crore.</t>
  </si>
  <si>
    <t>| Rate | Citizen | Tenure | NRI | Deposit |
| --- | --- | --- | --- | --- |
| 7.1 | Senior | 444-444 days | Non NRI | &lt;3CR |
| 7.05 | Senior | 1825-3650 days | Non NRI | &lt;3CR |
| 6.95 | Senior | 730-1094 days | Non NRI | &lt;3CR |
| 6.8 | Senior | 1095-1824 days | Non NRI | &lt;3CR |
| 6.75 | Senior | 365-729 days | Non NRI | &lt;3CR |
| 6.6 | Regular | 444-444 days | Non NRI | &lt;3CR |
| 6.45 | Regular | 730-1094 days | Non NRI | &lt;3CR |
| 6.4 | Senior | 211-364 days | Non NRI | &lt;3CR |
| 6.3 | Regular | 1095-1824 days | Non NRI | &lt;3CR |
| 6.25 | Regular | 365-729 days | Non NRI | &lt;3CR |
| 6.15 | Senior | 180-210 days | Non NRI | &lt;3CR |
| 6.05 | Regular | 1825-3650 days | Non NRI | &lt;3CR |
| 5.9 | Regular | 211-364 days | Non NRI | &lt;3CR |
| 5.65 | Regular | 180-210 days | Non NRI | &lt;3CR |
| 5.4 | Senior | 46-179 days | Non NRI | &lt;3CR |
| 4.9 | Regular | 46-179 days | Non NRI | &lt;3CR |
| 3.55 | Senior | 7-45 days | Non NRI | &lt;3CR |
| 3.05 | Regular | 7-45 days | Non NRI | &lt;3CR |
| 0.0 | Regular | 0-6 days | Non NRI | &lt;3CR |
| 0.0 | Senior | 0-6 days | Non NRI | &lt;3CR |
The best tenure is 444 days at 7.1% for Senior, Non NRI customers with deposit amount below 3 crore.</t>
  </si>
  <si>
    <t>The best tenure is 365-729 days at 6.25% for a regular citizen with amount less than 3 crore.</t>
  </si>
  <si>
    <t>The best tenure is 730-1094 days (2 years) at 6.2% for Regular citizens with deposit &gt;=3CR.</t>
  </si>
  <si>
    <t>TRUE/2</t>
  </si>
  <si>
    <t>The '1yr to &lt;2yr' bracket applies. 
This is because your deposit is for 365 days, which is exactly 1 year. The 365-day period falls within the '1 year and above but less than two years' category.</t>
  </si>
  <si>
    <t>The '1yr to &lt;2yr' rate bracket applies. 
This is because your deposit tenure is exactly 365 days, which is more than 1 year. It does not fall into the '185 days to &lt;1yr' bracket.</t>
  </si>
  <si>
    <t>FD Type: Cumulative with Quarterly Compounding
Principal: Rs. 2,00,000
Rate: 6.95% p.a. (regular citizen)
Tenure: 730 days
âš ï¸ Rate Correction: You mentioned no rate but the applicable rate for your FD (730 days, regular citizen, booked 2025-01-01) is 6.95% p.a. as per the rate card.
All calculations below use 6.95%.
FD booking period: "Between Nov 12, 2024 - Jun 14, 2025"
Formula: A = P x (1 + r/400)^(4 x T)
Calculation:
Step 1: r/400 = 6.95/400 = 0.017375
Step 2: 1 + 0.017375 = 1.017375
Step 3: 4 x T = 8.0
Step 4: (1.017375)^8.0 = 1.1477531
Step 5: A = 2,00,000 x 1.1477531 = Rs. 2,29,550.62
Total Interest = Rs. 2,29,550.62 - Rs. 2,00,000 = Rs. 29,550.62
At maturity, you will receive Rs. 2,29,550.62 (earning Rs. 29,550.62 in interest).</t>
  </si>
  <si>
    <t>FD Type: Cumulative with Quarterly Compounding
Principal: Rs. 2,00,000
Rate: 6.95% p.a. (regular citizen)
Tenure: 730 days
FD booking period: Between Nov 12, 2024 - Jun 14, 2025
Calculation:
Step 1: r/400 = 6.95/400 = 0.017375
Step 2: 1 + 0.017375 = 1.017375
Step 3: 4 x T = 8.0
Step 4: (1.017375)^8.0 = 1.1477531
Step 5: A = 2,00,000 x 1.1477531 = Rs. 2,29,550.62
Total Interest = Rs. 2,29,550.62 - Rs. 2,00,000 = Rs. 29,550.62
At maturity, you will receive Rs. 2,29,550.62 (earning Rs. 29,550.62 in interest).</t>
  </si>
  <si>
    <t>FD Type: Cumulative with Quarterly Compounding
Principal: Rs. 2,00,000
Rate: 6.95% p.a. (regular citizen)
Tenure: 730 days
âš ï¸ Rate Correction: You mentioned no rate but the applicable rate for your FD (730 days, regular citizen, booked 2025-01-01) is 6.95% p.a. as per the rate card.
All calculations below use 6.95%.
Formula: A = P x (1 + r/400)^(4 x T)
Calculation:
Step 1: r/400 = 6.95/400 = 0.017375
Step 2: 1 + 0.017375 = 1.017375
Step 3: 4 x T = 8.0
Step 4: (1.017375)^8.0 = 1.1477531
Step 5: A = 2,00,000 x 1.1477531 = Rs. 2,29,550.62
Total Interest = Rs. 2,29,550.62 - Rs. 2,00,000 = Rs. 29,550.62
At maturity, you will receive Rs. 2,29,550.62 (earning Rs. 29,550.62 in interest).</t>
  </si>
  <si>
    <t>FD booking period: Between Jan 01, 2000 - Feb 11, 2024
Tenure: 9 months
Principal (P): Rs. 5,00,000
Rate: 8.00% p.a. (regular citizen)
Type: Monthly payout FD
Maturity Date: 30 August 2024
To find the exact date of the last monthly credit, we need to look at the period schedule.
Period schedule:
Period 1: 30 Nov 2023 to 30 Dec 2023
Period 2: 30 Dec 2023 to 30 Jan 2024
Period 3: 30 Jan 2024 to 29 Feb 2024
Period 4: 29 Feb 2024 to 30 Mar 2024
Period 5: 30 Mar 2024 to 30 Apr 2024
Period 6: 30 Apr 2024 to 30 May 2024
Period 7: 30 May 2024 to 30 Jun 2024
Period 8: 30 Jun 2024 to 30 Jul 2024
Period 9: 30 Jul 2024 to 30 Aug 2024
The last monthly credit will be on 30 August 2024.
The final monthly payout on 30 August 2024 will be for 31 days.
Calculation:
Interest = 5,00,000 x 0.08 x (31/365)
Interest = Rs. 3,397.26
You will receive your last monthly credit of Rs. 3,397.26 on 30 August 2024.</t>
  </si>
  <si>
    <t>FD booking period: Between Jan 01, 2000 - Feb 11, 2024
Tenure: 9 months (274 days)
Type: Monthly payout FD
Principal (P): Rs. 5,00,000
Rate: 8.00% p.a. (regular citizen)
Maturity Date: 30 August 2024
To find the exact date of the last monthly credit, we need to look at the period schedule:
Period 1: 2023-11-30 to 2023-12-30 
...
Period 9: 2024-07-30 to 2024-08-30 
The last monthly credit will be on 30 August 2024.
The final payout date is the maturity date, which is 30 August 2024. 
You will receive your last monthly credit on 30 August 2024.</t>
  </si>
  <si>
    <t>FD booking period: Between Nov 12, 2024 - Jun 14, 2025
# â†‘ This comes from "Rate Source" in FD DETAILS. Format: "Rate card: 12-Nov-2024 to 14-Jun-2025" â†’ "Between Nov 12, 2024 - Jun 14, 2025"
Tenure: 6 months to &lt;1 year -&gt; 8.0% (regular citizen)
Monthly payout FD -&gt; exact days per month
Booking Date: 30 November 2023
Maturity Date: 30 August 2024
Last monthly credit date: 30 August 2024
The last monthly interest payout for your FD will be credited on 30 August 2024.</t>
  </si>
  <si>
    <t>FD booking period: Between Feb 12, 2024 - Nov 11, 2024
Tenure: 1 year -&gt; 7.55% (regular citizen)
Quarterly payout FD -&gt; exact days per quarter
Rolling year days: 365
Maturity Date: 28 Feb 2025
Q1 Interest:
Period: 2024-02-29 to 2024-05-29 (90 days)
Interest = Principal x Rate x (Days / Year)
Interest = 1,00,000 x 0.0755 x (90 / 365)
Interest = Rs. 1,861.64
Approx. Rs. 1,861.64 credited at end of first quarter.</t>
  </si>
  <si>
    <t>FD booking period: Between Feb 29, 2024 - Feb 28, 2025
Tenure: 1 year -&gt; 7.55% (regular citizen)
Quarterly payout FD -&gt; exact days per quarter
Rolling year days: 365
Q1 Period: 2024-02-29 to 2024-05-29 (90 days)
Interest = Principal x Rate x (Days / Year)
Interest = 1,00,000 x 0.0755 x (90 / 365)
Interest = Rs. 1,861.64
Approx. Rs. 1,861.64 credited at end of first quarter
Maturity date: 2025-02-28 
Your FD will mature on Feb 28, 2025.</t>
  </si>
  <si>
    <t>FD booking period: Between Nov 12, 2024 - Jun 14, 2025
Tenure: 6 months (183 days)
Principal (P): Rs. 75,000
Start date: 31 March 2025
Maturity: 30 September 2025
Senior citizen rate: 6.85% p.a.
Type: Monthly payout FD
Interest calculation: Exact day count per month
Period Schedule:
| Period | Days | Calculation | Interest |
| --- | --- | --- | --- |
| 31 Mar 2025 -&gt; 30 Apr 2025 | 30 | 75,000 x 0.0685 x (30/365) | Rs. 422.26 |
| 30 Apr 2025 -&gt; 31 May 2025 | 31 | 75,000 x 0.0685 x (31/365) | Rs. 436.34 |
| 31 May 2025 -&gt; 30 Jun 2025 | 30 | 75,000 x 0.0685 x (30/365) | Rs. 422.26 |
| 30 Jun 2025 -&gt; 31 Jul 2025 | 31 | 75,000 x 0.0685 x (31/365) | Rs. 436.34 |
| 31 Jul 2025 -&gt; 31 Aug 2025 | 31 | 75,000 x 0.0685 x (31/365) | Rs. 436.34 |
| 31 Aug 2025 -&gt; 30 Sep 2025 | 30 | 75,000 x 0.0685 x (30/365) | Rs. 422.26 |
Final Accurate Payout Summary:
Total monthly payouts credited: Rs. 2,575.79
You will receive 6 monthly credits during the FD period, with a total interest of Rs. 2,575.79. The maturity date of your FD is 30 September 2025.</t>
  </si>
  <si>
    <t>FD booking period: Between Mar 31, 2025 - Sep 30, 2025
Tenure: 6 months (183 days)
Principal (P): Rs. 75,000
Rate: 6.85% p.a. (senior citizen)
Type: Monthly payout FD
Maturity Date: 2025-09-30
Monthly payout schedule:
Period                          Days  Calculation                          Interest
2025-03-31 to 2025-04-30       30   75,000 x 0.0685 x (30/365)           Rs.   422.26
2025-04-30 to 2025-05-31       31   75,000 x 0.0685 x (31/365)           Rs.   436.34
2025-05-31 to 2025-06-30       30   75,000 x 0.0685 x (30/365)           Rs.   422.26
2025-06-30 to 2025-07-31       31   75,000 x 0.0685 x (31/365)           Rs.   436.34
2025-07-31 to 2025-08-31       31   75,000 x 0.0685 x (31/365)           Rs.   436.34
2025-08-31 to 2025-09-30       30   75,000 x 0.0685 x (30/365)           Rs.   422.26
Final Accurate Payout Summary
-----------------------------------------------------
Component                                    Amount
-----------------------------------------------------
Total monthly payouts credited             Rs. 2,575.79
-----------------------------------------------------
Total Interest on maturity                   Rs. 2,575.79
-----------------------------------------------------
You will receive 6 monthly credits during the FD period. 
Your total earnings over the 6-month tenure will be Rs. 2,575.79.</t>
  </si>
  <si>
    <t>FD booking period: Between Nov 12, 2024 - Jun 14, 2025
Tenure: &lt; 1 year -&gt; 6.35% (regular citizen)
Quarterly payout FD -&gt; exact days per quarter
Rolling year days: 365
Interest = Principal x Rate x (Days / Year)
Interest = 1,00,000 x 0.0635 x (90 / 365)
Interest = Rs. 1,565.75
Approx. Rs. 1,565.75 credited at end of first quarter.</t>
  </si>
  <si>
    <t>FD booking period: Between Jan 01, 2025 - Jul 04, 2025
Tenure: 184 days -&gt; 6.35% (regular citizen)
Quarterly payout FD -&gt; exact days per quarter
Rolling year days: 365
Interest = Principal x Rate x (Days / Year)
Interest = 1,00,000 x 0.0635 x (90 / 365)
Interest = Rs. 1,565.75
Approx. Rs. 1,565.75 credited at end of first quarter.</t>
  </si>
  <si>
    <t>FD Type: Cumulative with Quarterly Compounding
Principal: Rs. 1,00,000
Rate: 6.35% p.a. (regular citizen)
Tenure: 185 days
FD booking period: Between Nov 12, 2024 - Jun 14, 2025
Formula: A = P x (1 + r/400)^(4 x T)
Calculation:
Step 1: r/400 = 6.35/400 = 0.015875
Step 2: 1 + 0.015875 = 1.015875
Step 3: 4 x T = 2.0272
Step 4: (1.015875)^2.0272 = 1.0324442
Step 5: A = 1,00,000 x 1.0324442 = Rs. 1,03,244.42
Total Interest = Rs. 1,03,244.42 - Rs. 1,00,000 = Rs. 3,244.42
At maturity, you will receive Rs. 1,03,244.42 (earning Rs. 3,244.42 in interest).</t>
  </si>
  <si>
    <t>FD Type: Cumulative with Quarterly Compounding
Principal: Rs. 1,00,000
Rate: 6.35% p.a. (regular citizen)
Tenure: 185 days
FD booking period: Between Nov 12, 2024 - Jun 14, 2025
Calculation:
Step 1: r/400 = 6.35/400 = 0.015875
Step 2: 1 + 0.015875 = 1.015875
Step 3: 4 x T = 2.0272
Step 4: (1.015875)^2.0272 = 1.0324442
Step 5: A = 1,00,000 x 1.0324442 = Rs. 1,03,244.42
Total Interest = Rs. 1,03,244.42 - Rs. 1,00,000 = Rs. 3,244.42
At maturity, you will receive Rs. 1,03,244.42 (earning Rs. 3,244.42 in interest).</t>
  </si>
  <si>
    <t>FD Type: Cumulative with Quarterly Compounding
Principal: Rs. 1,00,000
Rate: 6.35% p.a. (regular citizen)
Tenure: 185 days
Booking Date: 1 Jan 2025
Maturity Date: 5 Jul 2025
Formula: A = P x (1 + r/400)^(4 x T)
Calculation:
Step 1: r/400 = 6.35/400 = 0.015875
Step 2: 1 + 0.015875 = 1.015875
Step 3: 4 x T = 2.0272
Step 4: (1.015875)^2.0272 = 1.0324442
Step 5: A = 1,00,000 x 1.0324442 = Rs. 1,03,244.42
Total Interest = Rs. 1,03,244.42 - Rs. 1,00,000 = Rs. 3,244.42
At maturity, you will receive Rs. 1,03,244.42 (earning Rs. 3,244.42 in interest).</t>
  </si>
  <si>
    <t>The best tenure is 2 years at 6.2% for a regular citizen with a deposit of &gt;=3CR.</t>
  </si>
  <si>
    <t>The best tenure is 2 years at 6.2% for a Regular citizen, with a deposit of &gt;=3CR.</t>
  </si>
  <si>
    <t>To calculate your FD interest accurately, I need:
1. **FD tenure** - For how long are you keeping this FD? (e.g., 2 years, 18 months)
Example: 'I have Rs. 2 lakh to put in an FD starting 1 Jan 2025 for 3 years. How much will I get at maturity?'</t>
  </si>
  <si>
    <t>I need the FD amount, booking date, and tenure to help you.</t>
  </si>
  <si>
    <t>FD booking period: Between Jun 15, 2025 - Dec 31, 2099
Tenure: 2 years
Principal (P): Rs. 1,00,000
Rate: 6.45% p.a. (regular citizen)
Type: Quarterly payout FD
Interest calculation: Exact day count per quarter
Period          Days  Calculation                          Interest
22 Mar 2026 -&gt; 22 Jun 2026       92   1,00,000 x 0.0645 x (92/365)           Rs. 1,625.75
22 Jun 2026 -&gt; 22 Sep 2026       92   1,00,000 x 0.0645 x (92/365)           Rs. 1,625.75
22 Sep 2026 -&gt; 22 Dec 2026       91   1,00,000 x 0.0645 x (91/365)           Rs. 1,608.08
22 Dec 2026 -&gt; 22 Mar 2027       90   1,00,000 x 0.0645 x (90/365)           Rs. 1,590.41
22 Mar 2027 -&gt; 22 Jun 2027       92   1,00,000 x 0.0645 x (92/366)           Rs. 1,621.31
22 Jun 2027 -&gt; 22 Sep 2027       92   1,00,000 x 0.0645 x (92/366)           Rs. 1,621.31
22 Sep 2027 -&gt; 22 Dec 2027       91   1,00,000 x 0.0645 x (91/366)           Rs. 1,603.69
22 Dec 2027 -&gt; 21 Mar 2028       90   1,00,000 x 0.0645 x (90/366)           Rs. 1,586.07
Final Accurate Payout Summary
-----------------------------------------------------
Component                                    Amount
-----------------------------------------------------
Total quarterly payouts credited             Rs. 12,882.38
-----------------------------------------------------
Total Interest on maturity                   Rs. 12,882.38
-----------------------------------------------------
You will receive 8 quarterly credits during the FD period. 
Your total earnings over the 2-year tenure will be Rs. 12,882.38.</t>
  </si>
  <si>
    <t>FD booking period: Between Mar 22, 2026 - Mar 22, 2028
Tenure: 2 years
Principal (P): Rs. 1,00,000
Rate: 6.45% p.a. (regular citizen)
Type: Quarterly payout FD
Interest calculation: Exact day count per quarter
Period          Days  Rolling Year  Calculation                          Interest
22 Mar 2026 -&gt; 22 Jun 2026  92         365  1,00,000 x 0.0645 x (92/365)    Rs. 1,625.75
22 Jun 2026 -&gt; 22 Sep 2026  92         365  1,00,000 x 0.0645 x (92/365)    Rs. 1,625.75
22 Sep 2026 -&gt; 22 Dec 2026  91         365  1,00,000 x 0.0645 x (91/365)    Rs. 1,608.08
22 Dec 2026 -&gt; 22 Mar 2027  90         365  1,00,000 x 0.0645 x (90/365)    Rs. 1,590.41
22 Mar 2027 -&gt; 22 Jun 2027  92         366  1,00,000 x 0.0645 x (92/366)    Rs. 1,621.31
22 Jun 2027 -&gt; 22 Sep 2027  92         366  1,00,000 x 0.0645 x (92/366)    Rs. 1,621.31
22 Sep 2027 -&gt; 22 Dec 2027  91         366  1,00,000 x 0.0645 x (91/366)    Rs. 1,603.69
22 Dec 2027 -&gt; 22 Mar 2028  91         366  1,00,000 x 0.0645 x (91/366)    Rs. 1,603.69
Final Accurate Payout Summary
--------------------------------
Component                                    Amount
--------------------------------
Total quarterly payouts credited             Rs. 12,900.00
Your total earnings over the 2-year tenure will be Rs. 12,900.00.</t>
  </si>
  <si>
    <t>FD Type: Cumulative with Quarterly Compounding
Principal: Rs. 2,00,000
Rate: 6.75% p.a. (regular citizen)
Tenure: 1 year
FD booking period: Between Nov 12, 2024 - Jun 14, 2025
Formula: A = P x (1 + r/400)^(4 x T)
Calculation:
Step 1: r/400 = 6.75/400 = 0.016875
Step 2: 1 + 0.016875 = 1.016875
Step 3: 4 x T = 4 x 1 = 4
Step 4: (1.016875)^4 = 1.0692279
Step 5: A = 2,00,000 x 1.0692279 = Rs. 2,13,845.58
Total Interest = Rs. 2,13,845.58 - Rs. 2,00,000 = Rs. 13,845.58
At maturity, you will receive Rs. 2,13,845.58 (earning Rs. 13,845.58 in interest).</t>
  </si>
  <si>
    <t>FD Type: Cumulative with Quarterly Compounding
Principal: Rs. 2,00,000
Rate: 6.75% p.a. (regular citizen)
Tenure: 1 year
âš ï¸ Rate Correction: You mentioned no rate but the applicable rate for your FD (1 years, regular citizen, booked 15 Feb 2025) is 6.75% p.a. as per the rate card.
All calculations below use 6.75%.
Formula: A = P x (1 + r/400)^(4 x T)
Calculation:
Step 1: r/400 = 6.75/400 = 0.016875
Step 2: 1 + 0.016875 = 1.016875
Step 3: 4 x T = 4 x 1 = 4
Step 4: (1.016875)^4 = 1.0692279
Step 5: A = 2,00,000 x 1.0692279 = Rs. 2,13,845.58
Total Interest = Rs. 2,13,845.58 - Rs. 2,00,000 = Rs. 13,845.58
At maturity, you will receive Rs. 2,13,845.58 (earning Rs. 13,845.58 in interest).</t>
  </si>
  <si>
    <t>The provided context does not contain information about the weather in Mumbai. It appears to be a document related to Reserve Bank of India (RBI) directions on interest rates on deposits. I am unable to provide information on the weather in Mumbai.</t>
  </si>
  <si>
    <t>The context provided does not contain information about the weather in Mumbai. It appears to be a document related to Reserve Bank of India (RBI) directions on interest rates on deposits. I don't have the required information to answer your question.</t>
  </si>
  <si>
    <t>FD booking period: Between Feb 12, 2024 - Nov 11, 2024
Tenure: 3 years
Principal (P): Rs. 1,00,000
Rate: 8.00% p.a. (senior citizen)
Type: Quarterly payout FD
Interest calculation: Exact day count per quarter
Period Schedule:
Period  | Days  | Calculation                          | Interest
---------|-------|--------------------------------------|-----------
2024-09-23 to 2024-12-23 | 91   | 1,00,000 x 0.08 x (91/365)           | Rs. 1,994.52
2024-12-23 to 2025-03-23 | 90   | 1,00,000 x 0.08 x (90/365)           | Rs. 1,972.60
2025-03-23 to 2025-06-23 | 92   | 1,00,000 x 0.08 x (92/365)           | Rs. 2,016.44
2025-06-23 to 2025-09-23 | 92   | 1,00,000 x 0.08 x (92/365)           | Rs. 2,016.44
2025-09-23 to 2025-12-23 | 91   | 1,00,000 x 0.08 x (91/365)           | Rs. 1,994.52
2025-12-23 to 2026-03-23 | 90   | 1,00,000 x 0.08 x (90/365)           | Rs. 1,972.60
2026-03-23 to 2026-06-23 | 92   | 1,00,000 x 0.08 x (92/365)           | Rs. 2,016.44
2026-06-23 to 2026-09-23 | 92   | 1,00,000 x 0.08 x (92/365)           | Rs. 2,016.44
2026-09-23 to 2026-12-23 | 91   | 1,00,000 x 0.08 x (91/365)           | Rs. 1,994.52
2026-12-23 to 2027-03-23 | 90   | 1,00,000 x 0.08 x (90/365)           | Rs. 1,972.60
2027-03-23 to 2027-06-23 | 92   | 1,00,000 x 0.08 x (92/366)           | Rs. 2,010.93
2027-06-23 to 2027-09-23 | 92   | 1,00,000 x 0.08 x (92/366)           | Rs. 2,010.93
Final Accurate Payout Summary:
--------------------------------
Component                                    Amount
--------------------------------
Total quarterly payouts credited             Rs. 23,988.98
Your total earnings over the 3-year tenure will be Rs. 23,988.98.</t>
  </si>
  <si>
    <t>FD booking period: Between Feb 12, 2024 - Nov 11, 2024
Tenure: 3 years
Principal (P): Rs. 1,00,000
Rate: 8.00% p.a. (senior citizen)
Type: Quarterly payout FD
Interest calculation: Exact day count per quarter
Period Schedule:
Period  | Days  | Calculation                          | Interest
---------|-------|---------------------------------------|-----------
2024-09-23 to 2024-12-23 | 91   | 1,00,000 x 0.08 x (91/365)           | Rs. 1,994.52
2024-12-23 to 2025-03-23 | 90   | 1,00,000 x 0.08 x (90/365)           | Rs. 1,972.60
2025-03-23 to 2025-06-23 | 92   | 1,00,000 x 0.08 x (92/365)           | Rs. 2,016.44
2025-06-23 to 2025-09-23 | 92   | 1,00,000 x 0.08 x (92/365)           | Rs. 2,016.44
2025-09-23 to 2025-12-23 | 91   | 1,00,000 x 0.08 x (91/365)           | Rs. 1,994.52
2025-12-23 to 2026-03-23 | 90   | 1,00,000 x 0.08 x (90/365)           | Rs. 1,972.60
2026-03-23 to 2026-06-23 | 92   | 1,00,000 x 0.08 x (92/365)           | Rs. 2,016.44
2026-06-23 to 2026-09-23 | 92   | 1,00,000 x 0.08 x (92/365)           | Rs. 2,016.44
2026-09-23 to 2026-12-23 | 91   | 1,00,000 x 0.08 x (91/365)           | Rs. 1,994.52
2026-12-23 to 2027-03-23 | 90   | 1,00,000 x 0.08 x (90/365)           | Rs. 1,972.60
2027-03-23 to 2027-06-23 | 92   | 1,00,000 x 0.08 x (92/365)           | Rs. 2,016.44
2027-06-23 to 2027-09-23 | 92   | 1,00,000 x 0.08 x (92/365)           | Rs. 2,016.44
Final Accurate Payout Summary:
--------------------------------
Component                                    Amount
--------------------------------
Total quarterly payouts credited             Rs. 23,994.48 
Final partial payout at maturity           Rs. 0 
--------------------------------
Total Interest on maturity                   Rs. 23,994.48 
You will receive 12 quarterly credits during the FD period. 
Your total earnings over the 3-year tenure will be Rs. 23,994.48 .</t>
  </si>
  <si>
    <t>FD booking period: Between Sep 12, 2024 - Sep 23, 2027 
# â†‘ This comes from "Rate Source" in FD DETAILS. Format: "Rate card: 12-Sep-2024 to 23-Sep-2027" â†’ "Between Sep 12, 2024 - Sep 23, 2027"
Tenure: 3 years -&gt; 8% (senior citizen)
Type: Quarterly payout FD
Principal (P): Rs. 1,00,000
Start date: 23 September 2024
Maturity: 1095 days later -&gt; 23 September 2027
Senior citizen rate: 8.00% p.a.
Interest calculation: Exact day count per quarter
Rolling year = exact 365/366-day rolling year from each quarter start 
Period                          Days  Calculation                          Interest
23 Sep 2024 -&gt; 23 Dec 2024       91   1,00,000 x 0.08 x (91/365)           Rs.   1,994.52
23 Dec 2024 -&gt; 23 Mar 2025       90   1,00,000 x 0.08 x (90/365)           Rs.   1,972.60
23 Mar 2025 -&gt; 23 Jun 2025       92   1,00,000 x 0.08 x (92/365)           Rs.   2,016.44
23 Jun 2025 -&gt; 23 Sep 2025       92   1,00,000 x 0.08 x (92/365)           Rs.   2,016.44
23 Sep 2025 -&gt; 23 Dec 2025       91   1,00,000 x 0.08 x (91/365)           Rs.   1,994.52
23 Dec 2025 -&gt; 23 Mar 2026       90   1,00,000 x 0.08 x (90/365)           Rs.   1,972.60
23 Mar 2026 -&gt; 23 Jun 2026       92   1,00,000 x 0.08 x (92/365)           Rs.   2,016.44
23 Jun 2026 -&gt; 23 Sep 2026       92   1,00,000 x 0.08 x (92/365)           Rs.   2,016.44
23 Sep 2026 -&gt; 23 Dec 2026       91   1,00,000 x 0.08 x (91/365)           Rs.   1,994.52
23 Dec 2026 -&gt; 23 Mar 2027       90   1,00,000 x 0.08 x (90/365)           Rs.   1,972.60
23 Mar 2027 -&gt; 23 Jun 2027       92   1,00,000 x 0.08 x (92/366)           Rs.   2,010.93
23 Jun 2027 -&gt; 23 Sep 2027       92   1,00,000 x 0.08 x (92/366)           Rs.   2,010.93
Final Accurate Payout Summary
-----------------------------------------------------
Component                                    Amount
-----------------------------------------------------
Total quarterly payouts credited             Rs. 23,988.98
Your total earnings over the 3-year tenure will be Rs. 23,988.98.</t>
  </si>
  <si>
    <t>FD Type: Cumulative with Quarterly Compounding
Principal: Rs. 1,00,000
Rate: 6.95% p.a. (regular citizen)
Tenure: 2 years
âš ï¸ Rate Correction: You mentioned no rate but the applicable rate for your FD (2 years, regular citizen, booked 2025-01-01) is 6.95% p.a. as per the rate card.
All calculations below use 6.95%.
Formula: A = P x (1 + r/400)^(4 x T)
Calculation:
Step 1: r/400 = 6.95/400 = 0.017375
Step 2: 1 + 0.017375 = 1.017375
Step 3: 4 x T = 4 x 2 = 8
Step 4: (1.017375)^8 = 1.1477531
Step 5: A = 1,00,000 x 1.1477531 = Rs. 1,14,775.31
Total Interest = Rs. 1,14,775.31 - Rs. 1,00,000 = Rs. 14,775.31
At maturity, you will receive Rs. 1,14,775.31 (earning Rs. 14,775.31 in interest).</t>
  </si>
  <si>
    <t>FD Type: Cumulative with Quarterly Compounding
Principal: Rs. 2,00,000
Rate: 6.45% p.a. (regular citizen)
Tenure: 2 years
âš ï¸ Rate Correction: You mentioned no rate but the applicable rate for your FD (2 years, regular citizen, booked 2028-01-01) is 6.45% p.a. as per the rate card.
All calculations below use 6.45%.
Formula: A = P x (1 + r/400)^(4 x T)
Calculation:
Step 1: r/400 = 6.45/400 = 0.016125
Step 2: 1 + 0.016125 = 1.016125
Step 3: 4 x T = 4 x 2 = 8
Step 4: (1.016125)^8 = 1.13652
Step 5: A = 2,00,000 x 1.13652 = Rs. 2,27,304
Total Interest = Rs. 2,27,304 - Rs. 2,00,000 = Rs. 27,304
At maturity, you will receive Rs. 2,27,304 (earning Rs. 27,304 in interest).
ðŸ“Œ Note: This calculation is based on the current interest rate of 6.45% p.a.
Since your FD booking date (2028-01-01) is in the future, the applicable rate may
change before then. Please recheck the rate card at the time of actual booking.</t>
  </si>
  <si>
    <t>FD Type: Cumulative with Quarterly Compounding
Principal: Rs. 2,00,000
Rate: 6.45% p.a. (regular citizen)
Tenure: 2 years
⚠️ Rate Correction: You mentioned no rate but the applicable rate for your FD (2 years, regular citizen, booked 2028-01-01) is 6.45% p.a. as per the rate card.
All calculations below use 6.45%.
Formula: A = P x (1 + r/400)^(4 x T)
Calculation:
Step 1: r/400 = 6.45/400 = 0.016125
Step 2: 1 + 0.016125 = 1.016125
Step 3: 4 x T = 4 x 2 = 8
Step 4: (1.016125)^8 = 1.13652
Step 5: A = 2,00,000 x 1.13652 = Rs. 2,27,304
Total Interest = Rs. 2,27,304 - Rs. 2,00,000 = Rs. 27,304
At maturity, you will receive Rs. 2,27,304 (earning Rs. 27,304 in interest).
📌 Note: This calculation is based on the current interest rate of 6.45% p.a.
Since your FD booking date (2028-01-01) is in the future, the applicable rate may
change before then. Please recheck the rate card at the time of actual booking.</t>
  </si>
  <si>
    <t>How much interest income I'll get in the 8th ans 6th quarter of booking FD on 12Feb2024? FD booking amount 1,00,000, tenure 3 years.I am a senior citizen</t>
  </si>
  <si>
    <t>FD booking period: Between Feb 12, 2024 - Nov 11, 2024
Tenure: 3 years
Senior citizen rate: 8.0% p.a.
Type: Quarterly payout FD
Requested Period Index: 8
Period 8: 2025-11-12 to 2026-02-12 (92 days, rolling_year=365)
Interest = Principal x Rate x (Days / Year)
Interest = 1,00,000 x 0.08 x (92 / 365)
Interest = Rs. 2,016.44
Approx. Rs. 2,016.44 credited at end of 8th quarter
Similarly, 
Period 6: 2025-05-12 to 2025-08-12 (92 days, rolling_year=365)
Interest = Principal x Rate x (Days / Year)
Interest = 1,00,000 x 0.08 x (92 / 365)
Interest = Rs. 2,016.44
Approx. Rs. 2,016.44 credited at end of 6th quarter</t>
  </si>
  <si>
    <t>I put Rs. 1,00,000 in an FD starting 1st April 2025 for 2 years, regular citizen, quarterly interest payout. Give me the complete interest schedule for all 8 quarters.</t>
  </si>
  <si>
    <t>FD booking period: Between Nov 12, 2024 - Jun 14, 2025
Principal (P): Rs. 1,00,000
Start date: 1 April 2025
Maturity: 1 April 2027
Rate: 6.95% p.a. (regular citizen)
Type: Quarterly payout FD
Interest calculation: Exact day count per quarter
Period                          Days  Calculation                          Interest
1 Apr 2025 -&gt; 1 Jul 2025       91   1,00,000 x 0.0695 x (91/365)           Rs. 1,732.74
1 Jul 2025 -&gt; 1 Oct 2025       92   1,00,000 x 0.0695 x (92/365)           Rs. 1,751.78
1 Oct 2025 -&gt; 1 Jan 2026       92   1,00,000 x 0.0695 x (92/365)           Rs. 1,751.78
1 Jan 2026 -&gt; 1 Apr 2026       90   1,00,000 x 0.0695 x (90/365)           Rs. 1,713.70
1 Apr 2026 -&gt; 1 Jul 2026       91   1,00,000 x 0.0695 x (91/365)           Rs. 1,732.74
1 Jul 2026 -&gt; 1 Oct 2026       92   1,00,000 x 0.0695 x (92/365)           Rs. 1,751.78
1 Oct 2026 -&gt; 1 Jan 2027       92   1,00,000 x 0.0695 x (92/365)           Rs. 1,751.78
1 Jan 2027 -&gt; 1 Apr 2027       90   1,00,000 x 0.0695 x (90/365)           Rs. 1,713.70
Final Accurate Payout Summary
-----------------------------------------------------
Component                                    Amount
-----------------------------------------------------
Total quarterly payouts credited             Rs. 13,900
-----------------------------------------------------
Total Interest on maturity                   Rs. 13,900
You will receive 8 quarterly credits during the FD period. 
Your total earnings over the 2-year tenure will be Rs. 13,900.</t>
  </si>
  <si>
    <t>Mera FD 75,000 ka hai, 15 March 2025 se shuru, 1 saal ke liye, senior citizen, quarterly. Pehle quarter mein kitna milega?</t>
  </si>
  <si>
    <t>FD booking period: Between Nov 12, 2024 - Jun 14, 2025
Tenure: 1 year -&gt; 7.25% (senior citizen)
Quarterly payout FD -&gt; exact days per quarter
Rolling year days: 365
Interest = Principal x Rate x (Days / Year)
Interest = 75,000 x 0.0725 x (92 / 365)
Interest = Rs. 1,370.55
Approx. Rs. 1,370.55 credited at end of first quarter</t>
  </si>
  <si>
    <t>FD of Rs. 2,00,000 booked 1 Jan 2024, 3 year tenure, regular citizen, quarterly payout. How much will I pocket in the 7th instalment?</t>
  </si>
  <si>
    <t>FD booking period: "Between Jan 01, 2024 - Feb 11, 2024"
# â†‘ This comes from "Rate Source" in FD DETAILS. Format: "Rate card: 01-Jan-2000 to 11-Feb-2024" â†’ "Between Jan 01, 2000 - Feb 11, 2024"
Tenure: 3 years
Quarterly payout FD -&gt; exact days per quarter
Rolling year days: 365
Interest for 7th instalment = Principal x Rate x (Days / Year)
Period 7: 2025-07-01 to 2025-10-01 (92 days, rolling_year=365)
Calculation:
Interest = 2,00,000 x 0.077 x (92 / 365)
Interest = Rs. 3,881.64
Approx. Rs. 3,881.64 credited at end of 7th quarter
You will receive Rs. 3,881.64 as the 7th instalment.</t>
  </si>
  <si>
    <t>Deposited 3 lakhs on 10 Nov 2024 for 2 years, quarterly interest, senior citizen. What will I receive in the very last quarterly payout?</t>
  </si>
  <si>
    <t>FD booking period: Between Feb 12, 2024 - Nov 11, 2024
Tenure: 2 years
Senior citizen rate: 7.75% p.a.
Type: Quarterly payout FD
Rolling year days: 365
Interest for the last quarter (Period 8: 2026-08-10 to 2026-11-10):
Interest = Principal x Rate x (Days / Year)
= 3,00,000 x 0.0775 x (92 / 365)
= Rs. 5,860.27
Approx. Rs. 5,860.27 credited at the end of the last quarter.</t>
  </si>
  <si>
    <t>I opened a fixed deposit of Rs. 1,50,000 on 1st December 2023, 3-year term, regular citizen, quarterly payout. How much is Q3?</t>
  </si>
  <si>
    <t>FD booking period: "Between Jan 01, 2000 - Feb 11, 2024"
Tenure: 3 years
Payout Type: Quarterly payout FD
Principal (P): Rs. 1,50,000
Rate (r): 7.7% p.a. (regular citizen)
Requested Period Index: 3
Period 3: 2024-06-01 to 2024-09-01 (92 days, rolling_year=365)
Interest = Principal x Rate x (Days / Year)
Interest = 1,50,000 x 0.077 x (92 / 365)
Interest = Rs. 2,911.23
Approx. Rs. 2,911.23 credited at end of Q3.</t>
  </si>
  <si>
    <t>Booked Rs. 80,000 FD on 1 July 2025 for 400 days, senior citizen, quarterly interest. Give me the complete payout schedule including the stub period.</t>
  </si>
  <si>
    <t>FD booking period: Between Jun 15, 2025 - Dec 31, 2099
Principal (P): Rs. 80,000
Start date: 1 July 2025
Maturity: 400 days later -&gt; 5 August 2026
Senior citizen rate: 6.75% p.a.
Type: Quarterly payout FD
Interest calculation: Exact day count per quarter
Period                          Days  Calculation                          Interest
1 Jul 2025 -&gt; 1 Oct 2025       92   80,000 x 0.0675 x (92/365)           Rs. 1,361.10
1 Oct 2025 -&gt; 1 Jan 2026       92   80,000 x 0.0675 x (92/365)           Rs. 1,361.10
1 Jan 2026 -&gt; 1 Apr 2026       90   80,000 x 0.0675 x (90/365)           Rs. 1,331.51
1 Apr 2026 -&gt; 1 Jul 2026       91   80,000 x 0.0675 x (91/365)           Rs. 1,346.30
1 Jul 2026 -&gt; 5 Aug 2026       35   80,000 x 0.0675 x (35/365)           Rs.   517.81
Final Accurate Payout Summary
-----------------------------------------------------
Component                                    Amount
-----------------------------------------------------
Total quarterly payouts credited             Rs. 5,917.81
-----------------------------------------------------
Total Interest on maturity                   Rs. 5,917.81
-----------------------------------------------------
You will receive 4 quarterly credits during the FD period, followed by a final partial interest payout at maturity.
Your total earnings over the 400-day tenure will be Rs. 5,917.81.</t>
  </si>
  <si>
    <t>As an NRI senior citizen I wish to park Rs. 5,50,00,000 for 3 years from 1 Feb 2025 with quarterly interest. What will each quarterly cheque be?</t>
  </si>
  <si>
    <t>FD booking period: Between Nov 12, 2024 - Jun 14, 2025
Tenure: 3 years
Principal (P): Rs. 5,50,00,000
Rate: 7.35% p.a. (senior citizen)
Type: Quarterly payout FD
Interest calculation: Exact day count per quarter
Period                          Days  Calculation                          Interest
2025-02-01 to 2025-05-01       89   5,50,00,000 x 0.0735 x (89/365)     Rs.  9,85,705.48
2025-05-01 to 2025-08-01       92   5,50,00,000 x 0.0735 x (92/365)     Rs. 10,18,931.51
2025-08-01 to 2025-11-01       92   5,50,00,000 x 0.0735 x (92/365)     Rs. 10,18,931.51
2025-11-01 to 2026-02-01       92   5,50,00,000 x 0.0735 x (92/365)     Rs. 10,18,931.51
2026-02-01 to 2026-05-01       89   5,50,00,000 x 0.0735 x (89/365)     Rs.  9,85,705.48
2026-05-01 to 2026-08-01       92   5,50,00,000 x 0.0735 x (92/365)     Rs. 10,18,931.51
2026-08-01 to 2026-11-01       92   5,50,00,000 x 0.0735 x (92/365)     Rs. 10,18,931.51
2026-11-01 to 2027-02-01       92   5,50,00,000 x 0.0735 x (92/365)     Rs. 10,18,931.51
2027-02-01 to 2027-05-01       89   5,50,00,000 x 0.0735 x (89/365)     Rs.  9,85,705.48
2027-05-01 to 2027-08-01       92   5,50,00,000 x 0.0735 x (92/366)     Rs. 10,16,147.54
2027-08-01 to 2027-11-01       92   5,50,00,000 x 0.0735 x (92/366)     Rs. 10,16,147.54
2027-11-01 to 2028-02-01       92   5,50,00,000 x 0.0735 x (92/366)     Rs. 10,16,147.54
Final Accurate Payout Summary
-----------------------------------------------------
Component                                    Amount
-----------------------------------------------------
Total quarterly payouts credited             Rs. 1,21,19,148.10
-----------------------------------------------------
Total Interest on maturity                   Rs. 1,21,19,148.10
-----------------------------------------------------
You will receive 12 quarterly credits during the FD period, with a total interest of Rs. 1,21,19,148.10.</t>
  </si>
  <si>
    <t>yaar mera 50k fd hai 23 sep 2024 se, 2 saal, senior, quarterly wala. first quarter mein paisa kitna aayega bhai?</t>
  </si>
  <si>
    <t>FD booking period: Between Feb 12, 2024 - Nov 11, 2024
Tenure: 2 years
Senior citizen rate: 7.75% p.a.
Type: Quarterly payout FD
Rolling year days: 365
Interest = Principal x Rate x (Days / Year)
For the first quarter: 
Period: 2024-09-23 to 2024-12-23
Days: 91
Calculation:
Interest = 50,000 x 0.0775 x (91 / 365)
Interest = 50,000 x 0.0775 x 0.249315
Interest = 50,000 x 0.0193136
Interest = Rs. 966.10
Approx. Rs. 966.10 credited at the end of the first quarter.</t>
  </si>
  <si>
    <t>I booked Rs. 1,00,000 FD on 31st January 2025, regular citizen, 1 year, quarterly payout. What are all quarterly credit dates and amounts?</t>
  </si>
  <si>
    <t>FD booking period: Between Nov 12, 2024 - Jun 14, 2025
Tenure: 1 to &lt;2 years -&gt; 6.75% (regular citizen)
Quarterly payout FD -&gt; exact days per quarter
Here are the quarterly credit dates and amounts:
Period                          Days  Calculation                          Interest
2025-01-31 to 2025-04-30       89   1,00,000 x 0.0675 x (89/365)           Rs. 1,645.89
2025-04-30 to 2025-07-31       92   1,00,000 x 0.0675 x (92/365)           Rs. 1,701.37
2025-07-31 to 2025-10-31       92   1,00,000 x 0.0675 x (92/365)           Rs. 1,701.37
2025-10-31 to 2026-01-31       92   1,00,000 x 0.0675 x (92/365)           Rs. 1,701.37
Final Accurate Payout Summary
-----------------------------------------------------
Component                                    Amount
-----------------------------------------------------
Total quarterly payouts credited             Rs. 6,750.00
-----------------------------------------------------
Total Interest on maturity                   Rs. 6,750.00
-----------------------------------------------------
You will receive 4 quarterly credits during the FD period. 
Your total earnings over the 1-year tenure will be Rs. 6,750.00.</t>
  </si>
  <si>
    <t>Fixed deposit of Rs. 2,00,000 booked on 30 November 2024, 2 years, senior citizen, quarterly payouts. List all 8 credit amounts with dates.</t>
  </si>
  <si>
    <t>FD booking period: Between Nov 12, 2024 - Jun 14, 2025
## FD Details:
- Principal: Rs. 2,00,000
- Start date: 30 November 2024
- Maturity: 30 November 2026
- Senior citizen rate: 7.45% p.a.
- Type: Quarterly payout FD
## Interest calculation: Exact day count per quarter
### Period Schedule:
| Period | Days | Calculation | Interest |
| --- | --- | --- | --- |
| 30 Nov 2024 -&gt; 28 Feb 2025 | 90 | 2,00,000 x 0.0745 x (90/365) | Rs. 3,673.97 |
| 28 Feb 2025 -&gt; 30 May 2025 | 91 | 2,00,000 x 0.0745 x (91/365) | Rs. 3,714.79 |
| 30 May 2025 -&gt; 30 Aug 2025 | 92 | 2,00,000 x 0.0745 x (92/365) | Rs. 3,755.62 |
| 30 Aug 2025 -&gt; 30 Nov 2025 | 92 | 2,00,000 x 0.0745 x (92/365) | Rs. 3,755.62 |
| 30 Nov 2025 -&gt; 28 Feb 2026 | 90 | 2,00,000 x 0.0745 x (90/365) | Rs. 3,673.97 |
| 28 Feb 2026 -&gt; 30 May 2026 | 91 | 2,00,000 x 0.0745 x (91/365) | Rs. 3,714.79 |
| 30 May 2026 -&gt; 30 Aug 2026 | 92 | 2,00,000 x 0.0745 x (92/365) | Rs. 3,755.62 |
| 30 Aug 2026 -&gt; 30 Nov 2026 | 92 | 2,00,000 x 0.0745 x (92/365) | Rs. 3,755.62 |
## Final Accurate Payout Summary:
You will receive 8 quarterly credits during the FD period.
## Total Payouts:
The total interest earned over the 2-year tenure is Rs. 29,800.
## Quarterly Payouts:
You will receive the following quarterly payouts:
1. 30 Nov 2024 -&gt; 28 Feb 2025: Rs. 3,673.97
2. 28 Feb 2025 -&gt; 30 May 2025: Rs. 3,714.79
3. 30 May 2025 -&gt; 30 Aug 2025: Rs. 3,755.62
4. 30 Aug 2025 -&gt; 30 Nov 2025: Rs. 3,755.62
5. 30 Nov 2025 -&gt; 28 Feb 2026: Rs. 3,673.97
6. 28 Feb 2026 -&gt; 30 May 2026: Rs. 3,714.79
7. 30 May 2026 -&gt; 30 Aug 2026: Rs. 3,755.62
8. 30 Aug 2026 -&gt; 30 Nov 2026: Rs. 3,755.62
Your total earnings over the 2-year tenure will be Rs. 29,800.</t>
  </si>
  <si>
    <t>I want to invest Rs. 2,99,00,000 from 1st March 2025 for 2 years, regular citizen, quarterly payout. How much interest per quarter?</t>
  </si>
  <si>
    <t>FD booking period: Between Nov 12, 2024 - Jun 14, 2025
Tenure: 2 years
Principal (P): Rs. 2,99,00,000
Rate: 6.95% p.a. (regular citizen)
Type: Quarterly payout FD
Interest calculation: Exact day count per quarter
Period 1: 2025-03-01 to 2025-06-01 (92 days, rolling_year=365)
Interest = 2,99,00,000 x 0.0695 x (92 / 365)
Interest = Rs. 5,23,782.47
Approx. Rs. 5,23,782.47 credited at end of first quarter.
Since the user has not mentioned receiving a specific amount or asked for TDS scenarios, we will only show the gross interest calculation.
The interest per quarter will be as follows:
Period 1:  Rs. 5,23,782.47
Period 2:  Rs. 5,23,782.47
Period 3:  Rs. 5,18,089.18
Period 4:  Rs. 5,12,395.89
Period 5:  Rs. 5,23,782.47
Period 6:  Rs. 5,23,782.47
Period 7:  Rs. 5,18,089.18
Period 8:  Rs. 5,12,395.89
The total interest earned over the 2-year tenure will be Rs. 41,56,100.</t>
  </si>
  <si>
    <t>I'm putting Rs. 1,25,000 in an FD for 8 quarters starting 15 Jan 2025. I'm a senior citizen. How much quarterly interest per period?</t>
  </si>
  <si>
    <t>FD booking period: Between Nov 12, 2024 - Jun 14, 2025
Tenure: 8 quarters -&gt; 7.45% (senior citizen)
Quarterly payout FD -&gt; exact days per quarter
Rolling year days: 365
Here are the quarterly interest payouts:
Period                          Days  Calculation                          Interest
2025-01-15 to 2025-04-15       90   1,25,000 x 0.0745 x (90/365)           Rs. 2,296.23
2025-04-15 to 2025-07-15       91   1,25,000 x 0.0745 x (91/365)           Rs. 2,321.75
2025-07-15 to 2025-10-15       92   1,25,000 x 0.0745 x (92/365)           Rs. 2,347.26
2025-10-15 to 2026-01-15       92   1,25,000 x 0.0745 x (92/365)           Rs. 2,347.26
2026-01-15 to 2026-04-15       90   1,25,000 x 0.0745 x (90/365)           Rs. 2,296.23
2026-04-15 to 2026-07-15       91   1,25,000 x 0.0745 x (91/365)           Rs. 2,321.75
2026-07-15 to 2026-10-15       92   1,25,000 x 0.0745 x (92/365)           Rs. 2,347.26
2026-10-15 to 2027-01-15       92   1,25,000 x 0.0745 x (92/365)           Rs. 2,347.26
Final Accurate Payout Summary
-----------------------------------------------------
Component                                    Amount
-----------------------------------------------------
Total quarterly payouts credited             Rs. 18,625
You will receive 8 quarterly credits during the FD period, with a total interest of Rs. 18,625.</t>
  </si>
  <si>
    <t>FD Rs. 3,00,000 booked on 23 Sep 2024, 3 years, senior citizen, quarterly payout. Why is Q2 interest different from Q5 even though days look the same?</t>
  </si>
  <si>
    <t>FD booking period: Between Feb 12, 2024 - Nov 11, 2024
Tenure: 3 years
Senior citizen rate: 8.0% p.a.
Type: Quarterly payout FD
You requested details for Q2 (Period 2).
Period 2: 2024-12-23 to 2025-03-23
Rolling year days: 365
Interest = Principal x Rate x (Days / Year)
Interest = 3,00,000 x 0.08 x (90 / 365)
Interest = Rs. 5,917.81
Approx. Rs. 5,917.81 credited at end of Q2.
Now, let's compare Q2 and Q5:
Period 2 (Q2): 2024-12-23 to 2025-03-23 (90 days)
Interest = Rs. 5,917.81
Period 5: 2025-09-23 to 2025-12-23 (91 days)
Interest = Rs. 5,983.56
Although the day counts are close (90 vs 91), the interest amounts differ slightly due to the exact day count and rolling year.
The interest payout for Q2 and Q5 differ because of the different number of days in each quarter (90 days in Q2 and 91 days in Q5). 
The interest calculation considers the exact number of days in each period, resulting in slightly different interest amounts.</t>
  </si>
  <si>
    <t>I plan to open an FD of Rs. 50,000 for exactly 91 days starting 1 June 2025, regular citizen, quarterly interest. What will I receive?</t>
  </si>
  <si>
    <t>FD booking period: Between Nov 12, 2024 - Jun 14, 2025
Tenure: Less than 1 year -&gt; 5.4% (regular citizen)
Rolling year days: 365
Interest = Principal x Rate x (Days / Year)
Interest = 50,000 x 0.054 x (91 / 365)
Interest = Rs. 673.15
You will receive Rs. 673.15 as interest for the 91-day period.</t>
  </si>
  <si>
    <t>Rs. 4,00,00,000 FD on 1 Apr 2024, 5 years, senior citizen NRI, quarterly payout. What is the first quarter interest?</t>
  </si>
  <si>
    <t>FD booking period: Between Feb 12, 2024 - Nov 11, 2024
Tenure: 5 years
Senior citizen NRI rate: 7.7% p.a.
Type: Quarterly payout FD
First quarter: 2024-04-01 to 2024-07-01 (91 days, rolling_year=365)
Rolling year days: 365
Interest = Principal x Rate x (Days / Year)
Interest = 4,00,00,000 x 0.077 x (91 / 365)
Interest = Rs. 7,67,890.41
Approx. Rs. 7,67,890.41 credited at end of first quarter</t>
  </si>
  <si>
    <t>FD 100000 INR, start date 03/15/2025, 2 years, regular citizen, quarterly interest payout. How much in first quarter?</t>
  </si>
  <si>
    <t>I would like to understand the interest that will be deposited into my savings account at the conclusion of the very first three-month interval for my fixed deposit of rupees two lakh fifty thousand commencing the first day of May two thousand and twenty five for eighteen months I am a regular taxpaying citizen of India.</t>
  </si>
  <si>
    <t>FD booking period: Between Nov 12, 2024 - Jun 14, 2025
Tenure: 1 to &lt;2 years -&gt; 6.75% (regular citizen)
Quarterly payout FD -&gt; exact days per quarter
Rolling year days: 365
Interest = Principal x Rate x (Days / Year)
Interest = 2,50,000 x 0.0675 x (92 / 365)
Interest = Rs. 4,253.42
Approx. Rs. 4,253.42 credited at end of first quarter
You will receive Rs. 4,253.42 as interest at the end of the first quarter, which ends on August 1, 2025.</t>
  </si>
  <si>
    <t>FD of Rs. 1,00,000 on 23 Sep 2024, 3 years, senior citizen, quarterly payout. How much will I get in Q11 and Q12?</t>
  </si>
  <si>
    <t>FD booking period: "Between Feb 12, 2024 - Nov 11, 2024"
Tenure: 3 years
Senior citizen rate: 8.0% p.a.
Type: Quarterly payout FD
Requested Period Index: 11
Period 11: 2027-03-23 to 2027-06-23 (92 days, rolling_year=366)
Interest = Principal x Rate x (Days / Year)
Interest = 1,00,000 x 0.08 x (92 / 366)
Interest = Rs. 2,010.93
You will receive Rs. 2,010.93 for Q11.
For Q12:
Period 12: 2027-06-23 to 2027-09-23 (92 days, rolling_year=366)
Interest = Principal x Rate x (Days / Year)
Interest = 1,00,000 x 0.08 x (92 / 366)
Interest = Rs. 2,010.93
You will receive Rs. 2,010.93 for Q12.</t>
  </si>
  <si>
    <t>Booked Rs. 5,00,000 FD on 1 March 2025 for 1 year, senior citizen, monthly interest payout. List all 12 monthly credits with amounts.</t>
  </si>
  <si>
    <t>FD booking period: Between Nov 12, 2024 - Jun 14, 2025
Principal (P): Rs. 5,00,000
Start date: 1 March 2025
Maturity: 1 March 2026
Senior citizen rate: 7.25% p.a.
Type: Monthly payout FD
## Monthly Interest Payouts
| Period | Days | Calculation | Interest |
| --- | --- | --- | --- |
| 1 Mar 2025 -&gt; 1 Apr 2025 | 31 | 5,00,000 x 0.0725 x (31/365) | Rs. 3,078.77 |
| 1 Apr 2025 -&gt; 1 May 2025 | 30 | 5,00,000 x 0.0725 x (30/365) | Rs. 2,979.45 |
| 1 May 2025 -&gt; 1 Jun 2025 | 31 | 5,00,000 x 0.0725 x (31/365) | Rs. 3,078.77 |
| 1 Jun 2025 -&gt; 1 Jul 2025 | 30 | 5,00,000 x 0.0725 x (30/365) | Rs. 2,979.45 |
| 1 Jul 2025 -&gt; 1 Aug 2025 | 31 | 5,00,000 x 0.0725 x (31/365) | Rs. 3,078.77 |
| 1 Aug 2025 -&gt; 1 Sep 2025 | 31 | 5,00,000 x 0.0725 x (31/365) | Rs. 3,078.77 |
| 1 Sep 2025 -&gt; 1 Oct 2025 | 30 | 5,00,000 x 0.0725 x (30/365) | Rs. 2,979.45 |
| 1 Oct 2025 -&gt; 1 Nov 2025 | 31 | 5,00,000 x 0.0725 x (31/365) | Rs. 3,078.77 |
| 1 Nov 2025 -&gt; 1 Dec 2025 | 30 | 5,00,000 x 0.0725 x (30/365) | Rs. 2,979.45 |
| 1 Dec 2025 -&gt; 1 Jan 2026 | 31 | 5,00,000 x 0.0725 x (31/365) | Rs. 3,078.77 |
| 1 Jan 2026 -&gt; 1 Feb 2026 | 31 | 5,00,000 x 0.0725 x (31/365) | Rs. 3,078.77 |
| 1 Feb 2026 -&gt; 1 Mar 2026 | 28 | 5,00,000 x 0.0725 x (28/365) | Rs. 2,780.82 |
## Final Summary
You will receive 12 monthly credits during the FD period.
Total Interest on maturity: Rs. 36,250
Your total earnings over the 1-year tenure will be Rs. 36,250.</t>
  </si>
  <si>
    <t>I put Rs. 2,00,000 in a monthly payout FD on 31st October 2024 for 6 months, regular citizen. What are my 6 monthly payout dates and amounts?</t>
  </si>
  <si>
    <t>FD booking period: Between Feb 12, 2024 - Nov 11, 2024
Tenure: 6 months (181 days)
Type: Monthly payout FD
Principal (P): Rs. 2,00,000
Rate: 6.95% p.a. (regular citizen)
Payout Schedule:
Period                          Days  Calculation                          Interest
31 Oct 2024 -&gt; 30 Nov 2024       30   2,00,000 x 0.0695 x (30/365)           Rs.   1,142.47
30 Nov 2024 -&gt; 31 Dec 2024       31   2,00,000 x 0.0695 x (31/365)           Rs.   1,180.55
31 Dec 2024 -&gt; 31 Jan 2025       31   2,00,000 x 0.0695 x (31/365)           Rs.   1,180.55
31 Jan 2025 -&gt; 28 Feb 2025       28   2,00,000 x 0.0695 x (28/365)           Rs.   1,066.30
28 Feb 2025 -&gt; 31 Mar 2025       31   2,00,000 x 0.0695 x (31/365)           Rs.   1,180.55
31 Mar 2025 -&gt; 30 Apr 2025       30   2,00,000 x 0.0695 x (30/365)           Rs.   1,142.47
Your 6 monthly payout dates and amounts are:
1. 30 Nov 2024: Rs. 1,142.47
2. 31 Dec 2024: Rs. 1,180.55
3. 31 Jan 2025: Rs. 1,180.55
4. 28 Feb 2025: Rs. 1,066.30
5. 31 Mar 2025: Rs. 1,180.55
6. 30 Apr 2025: Rs. 1,142.47
Total Interest on maturity: Rs. 6,892.88</t>
  </si>
  <si>
    <t>FD of Rs. 1,00,000 on 29th February 2024, 1 year, regular citizen, monthly payout. How much interest will I receive in the 12th month?</t>
  </si>
  <si>
    <t>FD booking period: Between Feb 12, 2024 - Nov 11, 2024
Tenure: 1 year -&gt; 7.55% (regular citizen)
Monthly payout FD -&gt; exact days per month
Rolling year days: 365
Interest for 12th month = Principal x Rate x (Days / Year)
Interest for 12th month = 1,00,000 x 0.0755 x (30 / 365)
Interest for 12th month = Rs. 620.55
Approx. Rs. 620.55 credited at end of 12th month</t>
  </si>
  <si>
    <t>I am an NRI senior citizen. I deposited Rs. 3,00,000 on 30 Nov 2023 for 9 months with monthly interest. Give me the full monthly schedule.</t>
  </si>
  <si>
    <t>FD booking period: Between Jan 01, 2000 - Feb 11, 2024
Principal (P): Rs. 3,00,000
Start date: 30 November 2023
Maturity: 30 August 2024
Senior citizen rate: 8.7% p.a.
Type: Monthly payout FD
Interest calculation: Exact day count per month
Period Schedule:
Period  | Days  | Calculation                          | Interest
---------|-------|---------------------------------------|-----------
30 Nov 2023 -&gt; 30 Dec 2023 | 30   | 3,00,000 x 0.087 x (30/366)           | Rs. 2,139.34
30 Dec 2023 -&gt; 30 Jan 2024 | 31   | 3,00,000 x 0.087 x (31/366)           | Rs. 2,210.66
30 Jan 2024 -&gt; 29 Feb 2024 | 30   | 3,00,000 x 0.087 x (30/366)           | Rs. 2,139.34
29 Feb 2024 -&gt; 30 Mar 2024 | 30   | 3,00,000 x 0.087 x (30/365)           | Rs. 2,145.21
30 Mar 2024 -&gt; 30 Apr 2024 | 31   | 3,00,000 x 0.087 x (31/365)           | Rs. 2,216.71
30 Apr 2024 -&gt; 30 May 2024 | 30   | 3,00,000 x 0.087 x (30/365)           | Rs. 2,145.21
30 May 2024 -&gt; 30 Jun 2024 | 31   | 3,00,000 x 0.087 x (31/365)           | Rs. 2,216.71
30 Jun 2024 -&gt; 30 Jul 2024 | 30   | 3,00,000 x 0.087 x (30/365)           | Rs. 2,145.21
30 Jul 2024 -&gt; 30 Aug 2024 | 31   | 3,00,000 x 0.087 x (31/365)           | Rs. 2,216.71
Final Accurate Payout Summary
-------------------------------
Component                                    Amount
-------------------------------
Total monthly payouts credited             Rs. 19,575.10
You will receive 9 monthly credits during the FD period. 
Your total earnings over the 9-month tenure will be Rs. 19,575.10.</t>
  </si>
  <si>
    <t>FD Rs. 1,50,000 booked on 5 June 2025, 18 months, regular citizen, monthly payout. How much will I receive in month 6?</t>
  </si>
  <si>
    <t>FD booking period: Between Nov 12, 2024 - Jun 14, 2025
Tenure: 1 to &lt;2 years -&gt; 6.75% (regular citizen)
Monthly payout FD -&gt; exact days per month
Rolling year days: 365
Interest for Month 6 (2025-11-05 to 2025-12-05):
Period: 2025-11-05 to 2025-12-05
Days: 30
Interest = Principal x Rate x (Days / Year)
Interest = 1,50,000 x 0.0675 x (30 / 365)
Interest = Rs. 832.19
Approx. Rs. 832.19 credited at end of Month 6</t>
  </si>
  <si>
    <t>50k FD, 15 aug 2025, 6 months, monthly milta hai, regular citizen. har month kitna aata hai?</t>
  </si>
  <si>
    <t>FD booking period: Between Jun 15, 2025 - Dec 31, 2099
Tenure: 6 months
Rate: 5.65% p.a. (regular citizen)
Type: Monthly payout FD
Principal (P): Rs. 50,000
Booking Date: 15 Aug 2025
Maturity Date: 15 Feb 2026
Here are the monthly interest payouts:
Period                          Days  Calculation                          Interest
15 Aug 2025 -&gt; 15 Sep 2025       31   50,000 x 0.0565 x (31/365)           Rs.   239.93
15 Sep 2025 -&gt; 15 Oct 2025       30   50,000 x 0.0565 x (30/365)           Rs.   232.19
15 Oct 2025 -&gt; 15 Nov 2025       31   50,000 x 0.0565 x (31/365)           Rs.   239.93
15 Nov 2025 -&gt; 15 Dec 2025       30   50,000 x 0.0565 x (30/365)           Rs.   232.19
15 Dec 2025 -&gt; 15 Jan 2026       31   50,000 x 0.0565 x (31/365)           Rs.   239.93
15 Jan 2026 -&gt; 15 Feb 2026       31   50,000 x 0.0565 x (31/365)           Rs.   239.93
Final Accurate Payout Summary
-----------------------------------------------------
Component                                    Amount
-----------------------------------------------------
Total monthly payouts credited             Rs. 1,424.11
-----------------------------------------------------
Your total earnings over the 6-month tenure will be Rs. 1,424.11.</t>
  </si>
  <si>
    <t>I'm investing Rs. 3,50,00,000 on 1 Jan 2025 for 2 years, monthly interest payout, senior citizen. How much is credited each month?</t>
  </si>
  <si>
    <t>FD booking period: Between Nov 12, 2024 - Jun 14, 2025
Tenure: 2 years
Principal (P): Rs. 3,50,00,000
Rate: 7.2% p.a. (senior citizen)
Type: Monthly payout FD
ðŸ“Œ Note: This calculation is based on the current interest rate of 7.2% p.a. Since your FD booking date (2025-01-01) is in the past, the rate is confirmed to be applicable.
Monthly payout calculation:
Period 1: 2025-01-01 to 2025-02-01 (31 days, rolling_year=365)
Interest = 3,50,00,000 x 0.072 x (31 / 365) 
Interest = Rs. 2,14,027.40
Since the payout is monthly, you will receive 24 payouts.
Here's a breakdown of the first few and last few periods:
Period                          Days  Calculation                          Interest
2025-01-01 to 2025-02-01       31   3,50,00,000 x 0.072 x (31/365)     Rs. 2,14,027.40
2025-02-01 to 2025-03-01       28   3,50,00,000 x 0.072 x (28/365)     Rs. 1,93,315.07
...
2026-11-01 to 2026-12-01       30   3,50,00,000 x 0.072 x (30/365)     Rs. 2,07,123.29
2026-12-01 to 2027-01-01       31   3,50,00,000 x 0.072 x (31/365)     Rs. 2,14,027.40
You will receive a monthly interest payout of approximately Rs. 2,07,123.29 to Rs. 2,14,027.40.
Total Interest on maturity: Rs. 50,40,000</t>
  </si>
  <si>
    <t>Opened an FD of Rs. 75,000 on 20 June 2025 for 400 days, regular citizen, monthly interest payout. How many monthly payouts will I receive and what is total interest?</t>
  </si>
  <si>
    <t>FD booking period: Between Jun 15, 2025 - Dec 31, 2099
Tenure: 400 days
Principal (P): Rs. 75,000
Rate: 6.25% p.a. (regular citizen)
Type: Monthly payout FD
Maturity Date: 25 July 2026
You will receive 13 monthly payouts during the FD period, followed by a final partial payout at maturity.
Here is the breakdown:
Period                          Days  Calculation                          Interest
20 Jun 2025 -&gt; 20 Jul 2025       30   75,000 x 0.0625 x (30/365)           Rs.   385.27
20 Jul 2025 -&gt; 20 Aug 2025       31   75,000 x 0.0625 x (31/365)           Rs.   398.12
20 Aug 2025 -&gt; 20 Sep 2025       31   75,000 x 0.0625 x (31/365)           Rs.   398.12
20 Sep 2025 -&gt; 20 Oct 2025       30   75,000 x 0.0625 x (30/365)           Rs.   385.27
20 Oct 2025 -&gt; 20 Nov 2025       31   75,000 x 0.0625 x (31/365)           Rs.   398.12
20 Nov 2025 -&gt; 20 Dec 2025       30   75,000 x 0.0625 x (30/365)           Rs.   385.27
20 Dec 2025 -&gt; 20 Jan 2026       31   75,000 x 0.0625 x (31/365)           Rs.   398.12
20 Jan 2026 -&gt; 20 Feb 2026       31   75,000 x 0.0625 x (31/365)           Rs.   398.12
20 Feb 2026 -&gt; 20 Mar 2026       28   75,000 x 0.0625 x (28/365)           Rs.   359.59
20 Mar 2026 -&gt; 20 Apr 2026       31   75,000 x 0.0625 x (31/365)           Rs.   398.12
20 Apr 2026 -&gt; 20 May 2026       30   75,000 x 0.0625 x (30/365)           Rs.   385.27
20 May 2026 -&gt; 20 Jun 2026       31   75,000 x 0.0625 x (31/365)           Rs.   398.12
20 Jun 2026 -&gt; 20 Jul 2026       30   75,000 x 0.0625 x (30/365)           Rs.   385.27
20 Jul 2026 -&gt; 25 Jul 2026        5   75,000 x 0.0625 x (5/365)            Rs.    64.21
Final Accurate Payout Summary
-----------------------------------------------------
Component                                    Amount
-----------------------------------------------------
Total monthly payouts credited             Rs. 4,772.78
Final partial payout at maturity (5 days)   Rs.    64.21
-----------------------------------------------------
Total Interest on maturity                   Rs. 5,136.99
-----------------------------------------------------
Your total earnings over the 400-day tenure will be Rs. 5,136.99.</t>
  </si>
  <si>
    <t>Placed Rs. 2,25,000 in a 2-year monthly interest FD on 14th Feb 2025. I am a senior citizen. What will my very first monthly credit be?</t>
  </si>
  <si>
    <t>FD booking period: Between Nov 12, 2024 - Jun 14, 2025
Tenure: 2 years
Principal (P): Rs. 2,25,000
Rate: 7.45% p.a. (senior citizen)
Type: Monthly payout FD
First Monthly Credit Period: 2025-02-14 to 2025-03-14 (28 days)
Rolling year days: 365
Interest = Principal x Rate x (Days / Year)
Interest = 2,25,000 x 0.0745 x (28 / 365)
Interest = Rs. 1,285.89
Approx. Rs. 1,285.89 credited at the end of the first month.</t>
  </si>
  <si>
    <t>FD Rs. 1,00,000, start 1 Apr 2025, 1 year, regular citizen, monthly payout. How much will I get in the very last monthly payout?</t>
  </si>
  <si>
    <t>FD booking period: Between Nov 12, 2024 - Jun 14, 2025
Tenure: 1 year
Type: Monthly payout FD
Principal (P): Rs. 1,00,000
Rate: 6.75% p.a. (regular citizen)
Tenure: 1 year (365 days)
Requested Period Index: 12 (last period)
Period 12: 2026-03-01 to 2026-04-01 (31 days, rolling_year=365)
Interest = Principal x Rate x (Days / Year)
Interest = 1,00,000 x 0.0675 x (31 / 365)
Interest = Rs. 573.29
The last monthly payout will be Rs. 573.29.</t>
  </si>
  <si>
    <t>I booked Rs. 3,00,000 FD on 1 January 2025 for 2 years, senior citizen, half yearly payout. What is the complete payout schedule with dates and amounts?</t>
  </si>
  <si>
    <t>FD booking period: Between Nov 12, 2024 - Jun 14, 2025
Principal (P): Rs. 3,00,000
Start date: 1 January 2025
Maturity: 1 January 2027
Senior citizen rate: 7.45% p.a.
Type: Half-yearly payout FD
Interest calculation: Exact day count per half-year
Period                          Days  Calculation                          Interest
1 Jan 2025 -&gt; 1 Jul 2025       181   3,00,000 x 0.0745 x (181/365)           Rs. 11,083.15
1 Jul 2025 -&gt; 1 Jan 2026       184   3,00,000 x 0.0745 x (184/365)           Rs. 11,266.85
1 Jan 2026 -&gt; 1 Jul 2026       181   3,00,000 x 0.0745 x (181/365)           Rs. 11,083.15
1 Jul 2026 -&gt; 1 Jan 2027       184   3,00,000 x 0.0745 x (184/365)           Rs. 11,266.85
Final Accurate Payout Summary
-----------------------------------------------------
Component                                    Amount
-----------------------------------------------------
Total half-yearly payouts credited             Rs. 44,700
-----------------------------------------------------
Total Interest on maturity                   Rs. 44,700
-----------------------------------------------------
You will receive 4 half-yearly credits during the FD period.
Your total earnings over the 2-year tenure will be Rs. 44,700.</t>
  </si>
  <si>
    <t>FD of Rs. 2,00,000 started on 31st August 2024 for 18 months, regular citizen, interest paid every 6 months. List all payouts with dates.</t>
  </si>
  <si>
    <t>FD booking period: Between Feb 12, 2024 - Nov 11, 2024
Tenure: 1 to &lt;2 years -&gt; Not directly mentioned, but 18 months is given
Principal (P): Rs. 2,00,000
Start date: 31 August 2024
Maturity: 28 February 2026
Rate: 7.55% p.a. (regular citizen)
Type: Half-yearly payout FD
Interest calculation: Exact day count per half-year
Period 1: 31 Aug 2024 -&gt; 28 Feb 2025
Days: 181
Rolling year days: 365
Interest = 2,00,000 x 0.0755 x (181 / 365)
Interest = Rs. 7,487.95
Period 2: 28 Feb 2025 -&gt; 31 Aug 2025
Days: 184
Rolling year days: 365
Interest = 2,00,000 x 0.0755 x (184 / 365)
Interest = Rs. 7,612.05
Period 3: 31 Aug 2025 -&gt; 28 Feb 2026
Days: 181
Rolling year days: 365
Interest = 2,00,000 x 0.0755 x (181 / 365)
Interest = Rs. 7,487.95
Payout Summary:
Period 1: 31 Aug 2024 -&gt; 28 Feb 2025 -&gt; Rs. 7,487.95
Period 2: 28 Feb 2025 -&gt; 31 Aug 2025 -&gt; Rs. 7,612.05
Period 3: 31 Aug 2025 -&gt; 28 Feb 2026 -&gt; Rs. 7,487.95
Total Interest on maturity: Rs. 22,587.95
You will receive 3 half-yearly credits during the FD period. 
Your total earnings over the 18-month tenure will be Rs. 22,587.95.</t>
  </si>
  <si>
    <t>Invest Rs. 4,00,000 on 15 March 2025 for 3 years, regular citizen, biannual interest payout. How much each payout?</t>
  </si>
  <si>
    <t>FD booking period: Between Nov 12, 2024 - Jun 14, 2025
Tenure: 3 years
Principal (P): Rs. 4,00,000
Rate: 6.8% p.a. (regular citizen)
Type: Biannual payout FD
Period Schedule:
Period 1: 15 Mar 2025 to 15 Sep 2025 (184 days, rolling_year=365) | Gross: Rs. 13,711.78
Period 2: 15 Sep 2025 to 15 Mar 2026 (181 days, rolling_year=365) | Gross: Rs. 13,488.22
Period 3: 15 Mar 2026 to 15 Sep 2026 (184 days, rolling_year=365) | Gross: Rs. 13,711.78
Period 4: 15 Sep 2026 to 15 Mar 2027 (181 days, rolling_year=365) | Gross: Rs. 13,488.22
Period 5: 15 Mar 2027 to 15 Sep 2027 (184 days, rolling_year=366) | Gross: Rs. 13,674.32
Period 6: 15 Sep 2027 to 15 Mar 2028 (182 days, rolling_year=366) | Gross: Rs. 13,525.68
Interest calculation (example for Period 1):
Interest = Principal x Rate x (Days / Year)
= 4,00,000 x 0.068 x (184 / 365)
= Rs. 13,711.78
Full Breakdown Summary:
-----------------------------------------------------
Period  | Days  | Calculation                          | Interest
-----------------------------------------------------
1       |  184  | 4,00,000 x 0.068 x (184/365)         | Rs. 13,711.78
2       |  181  | 4,00,000 x 0.068 x (181/365)         | Rs. 13,488.22
3       |  184  | 4,00,000 x 0.068 x (184/365)         | Rs. 13,711.78
4       |  181  | 4,00,000 x 0.068 x (181/365)         | Rs. 13,488.22
5       |  184  | 4,00,000 x 0.068 x (184/366)         | Rs. 13,674.32
6       |  182  | 4,00,000 x 0.068 x (182/366)         | Rs. 13,525.68
-----------------------------------------------------
Total Interest on maturity: Rs. 81,600
You will receive 6 biannual payouts during the FD period. 
Your total earnings over the 3-year tenure will be Rs. 81,600.</t>
  </si>
  <si>
    <t>I am an NRI senior citizen. I deposited Rs. 1,00,00,000 on 1 July 2024 for 5 years, interest every six months. How much in the first half-year payout?</t>
  </si>
  <si>
    <t>FD booking period: Between Feb 12, 2024 - Nov 11, 2024
Tenure: 5 years
Principal (P): Rs. 10,00,00,000
Rate: 7.7% p.a. (senior citizen)
Type: Half-yearly payout FD
Interest calculation: Exact day count per half-year
Period 1: 2024-07-01 to 2025-01-01 (184 days, rolling_year=365)
Interest = Principal x Rate x (Days / Year)
Interest = 10,00,00,000 x 0.077 x (184 / 365)
Interest = Rs. 3,88,16,438.36 
However, as per provided calculation results:
Gross Interest for Period 1: Rs. 38,81,643.84
Approx. Rs. 38,81,643.84 credited at end of first half-year.</t>
  </si>
  <si>
    <t>FD Rs. 5,00,000 on 1 Oct 2024, 3 years, senior citizen, half yearly payout. What do I receive in my 3rd half-yearly credit?</t>
  </si>
  <si>
    <t>Booked Rs. 1,25,000 FD on 1 June 2025 for 400 days, regular citizen, half yearly interest. Give me the complete schedule.</t>
  </si>
  <si>
    <t>FD booking period: Between Nov 12, 2024 - Jun 14, 2025
Principal (P): Rs. 1,25,000
Start date: 1 June 2025
Maturity: 400 days later -&gt; 6 July 2026
Rate: 7.2% p.a. (regular citizen)
Type: Half-yearly payout FD
Interest calculation: Exact day count per half-year
Period 1: 1 June 2025 -&gt; 1 December 2025 (183 days, Rolling year days: 365)
Interest = Principal x Rate x (Days / Year)
Interest = 1,25,000 x 0.072 x (183 / 365)
Interest = Rs. 4,512.33
Period 2: 1 December 2025 -&gt; 1 June 2026 (182 days, Rolling year days: 365)
Interest = Principal x Rate x (Days / Year)
Interest = 1,25,000 x 0.072 x (182 / 365)
Interest = Rs. 4,487.67
Period 3: 1 June 2026 -&gt; 6 July 2026 (35 days, Rolling year days: 365)
Interest = Principal x Rate x (Days / Year)
Interest = 1,25,000 x 0.072 x (35 / 365)
Interest = Rs. 863.01
Half-yearly Payout Schedule:
Period  | Days  | Calculation                          | Interest
---------|-------|---------------------------------------|-----------
1 June 2025 -&gt; 1 Dec 2025 | 183  | 1,25,000 x 0.072 x (183/365)         | Rs. 4,512.33
1 Dec 2025 -&gt; 1 June 2026 | 182  | 1,25,000 x 0.072 x (182/365)         | Rs. 4,487.67
1 June 2026 -&gt; 6 July 2026 | 35   | 1,25,000 x 0.072 x (35/365)          | Rs. 863.01
Final Accurate Payout Summary:
Component                                    Amount
-----------------------------------------------------
Total half-yearly payouts credited             Rs. 9,863.01
Your total earnings over the 400-day tenure will be Rs. 9,863.01.</t>
  </si>
  <si>
    <t>I wish to put Rs. 1,00,000 in a cumulative FD for 2 years starting 1st April 2025. I am a regular citizen. What will I receive at maturity?</t>
  </si>
  <si>
    <t>If I open an FD of Rs. 2,00,000 on 29 February 2024 for 3 years as a regular citizen, cumulative, what is the maturity amount and date?</t>
  </si>
  <si>
    <t>FD Type: Cumulative with Quarterly Compounding
Principal: Rs. 2,00,000
Rate: 7.5% p.a. (regular citizen)
Tenure: 3 years
FD booking period: Between Feb 12, 2024 - Nov 11, 2024
Formula: A = P x (1 + r/400)^(4 x T)
Calculation:
Step 1: r/400 = 7.5/400 = 0.01875
Step 2: 1 + 0.01875 = 1.01875
Step 3: 4 x T = 4 x 3 = 12
Step 4: (1.01875)^12 = 1.2497164
Step 5: A = 2,00,000 x 1.2497164 = Rs. 2,49,943.28
Total Interest = Rs. 2,49,943.28 - Rs. 2,00,000 = Rs. 49,943.28
Maturity Date: 28 Feb 2027
At maturity, you will receive Rs. 2,49,943.28 (earning Rs. 49,943.28 in interest).</t>
  </si>
  <si>
    <t>Booked Rs. 75,000 FD on 31st January 2025, 1 year, senior citizen, cumulative. What is the maturity amount?</t>
  </si>
  <si>
    <t>FD Type: Cumulative with Quarterly Compounding
Principal: Rs. 75,000
Rate: 7.25% p.a. (senior citizen)
Tenure: 1 year
FD booking period: "Between Nov 12, 2024 - Jun 14, 2025"
Formula: A = P x (1 + r/400)^(4 x T)
Calculation:
Step 1: r/400 = 7.25/400 = 0.018125
Step 2: 1 + 0.018125 = 1.018125
Step 3: 4 x T = 4 x 1 = 4
Step 4: (1.018125)^4 = 1.074495
Step 5: A = 75,000 x 1.074495 = Rs. 80,587.12
Total Interest = Rs. 80,587.12 - Rs. 75,000 = Rs. 5,587.12
At maturity, you will receive Rs. 80,587.12 (earning Rs. 5,587.12 in interest).</t>
  </si>
  <si>
    <t>I deposited Rs. 5,00,000 on 15 May 2025 for 18 months, regular citizen, cumulative FD. What is the maturity value?</t>
  </si>
  <si>
    <t>FD Type: Cumulative with Quarterly Compounding
Principal: Rs. 5,00,000
Rate: 6.75% p.a. (regular citizen)
Tenure: 18 months
FD booking period: "Between Nov 12, 2024 - Jun 14, 2025"
Formula: A = P x (1 + r/400)^(4 x T)
Calculation:
Step 1: r/400 = 6.75/400 = 0.016875
Step 2: 1 + 0.016875 = 1.016875
Step 3: 4 x T = 6.0
Step 4: (1.016875)^6.0 = 1.1056188
Step 5: A = 5,00,000 x 1.1056188 = Rs. 5,52,809.40
Total Interest = Rs. 5,52,809.40 - Rs. 5,00,000 = Rs. 52,809.40
At maturity, you will receive Rs. 5,52,809.40 (earning Rs. 52,809.40 in interest).</t>
  </si>
  <si>
    <t>Opening a Rs. 3,00,000 FD for 4 quarters from 1 Feb 2025, regular citizen, cumulative. How much at the end?</t>
  </si>
  <si>
    <t>Rs. 10,00,000 FD on 1 March 2024 for 5 years, senior citizen NRI, cumulative. Maturity amount?</t>
  </si>
  <si>
    <t>I want to park Rs. 5,00,00,000 in a 3 year cumulative FD from 1 January 2025. I am a senior citizen, non-NRI. What will I receive at maturity?</t>
  </si>
  <si>
    <t>FD Type: Cumulative with Quarterly Compounding
Principal: Rs. 50,00,00,000
Rate: 7.05% p.a. (senior citizen)
Tenure: 3 years
FD booking period: Between Nov 12, 2024 - Jun 14, 2025
Formula: A = P x (1 + r/400)^(4 x T)
Calculation:
Step 1: r/400 = 7.05/400 = 0.017625
Step 2: 1 + 0.017625 = 1.017625
Step 3: 4 x T = 4 x 3 = 12
Step 4: (1.017625)^12 = 1.2332559
Step 5: 50,00,00,000 x 1.2332559 = Rs. 61,66,27,950
Total Interest = Rs. 61,66,27,950 - Rs. 50,00,00,000 = Rs. 11,66,27,950
At maturity, you will receive Rs. 61,66,27,950 (earning Rs. 11,66,27,950 in interest).</t>
  </si>
  <si>
    <t>How much will my Rs. 2,50,000 grow if I book a cumulative FD on 1 Jun 2025 for 2 years as a regular citizen?</t>
  </si>
  <si>
    <t>I'm a senior citizen and I want to put Rs. 1,00,000 in a fixed deposit for 5 years starting 1 Apr 2025. How much extra will I earn on top of my principal?</t>
  </si>
  <si>
    <t>As an NRI I want to invest Rs. 3,50,00,000 in a 2-year cumulative FD from 1 March 2025. I am not a senior citizen. What is the maturity amount?</t>
  </si>
  <si>
    <t>FD Type: Cumulative with Quarterly Compounding
Principal: Rs. 3,50,00,000
Rate: 7.00% p.a. (regular citizen)
Tenure: 2 years
FD booking period: Between Nov 12, 2024 - Jun 14, 2025
Formula: A = P x (1 + r/400)^(4 x T)
Calculation:
Step 1: r/400 = 7.0/400 = 0.0175
Step 2: 1 + 0.0175 = 1.0175
Step 3: 4 x T = 4 x 2 = 8
Step 4: (1.0175)^8 = 1.1488818
Step 5: A = 3,50,00,000 x 1.1488818 = Rs. 4,02,10,863
Total Interest = Rs. 4,02,10,863 - Rs. 3,50,00,000 = Rs. 52,10,863
At maturity, you will receive Rs. 4,02,10,863 (earning Rs. 52,10,863 in interest).</t>
  </si>
  <si>
    <t>I booked Rs. 1,00,000 FD on 1 Jan 2024 for 2 years. I closed it on exactly 1 Jan 2026. Regular citizen. How much do I get?</t>
  </si>
  <si>
    <t>FD Type: Cumulative with Quarterly Compounding
Principal: Rs. 1,00,000
Rate: 7.75% p.a. (regular citizen)
Tenure: 2 years
âš ï¸ Rate Correction: You mentioned 0% but the applicable rate for your FD (2 years, regular citizen, booked 2024-01-01) is 7.75% p.a. as per the rate card.
All calculations below use 7.75%.
Formula: A = P x (1 + r/400)^(4 x T)
Calculation:
Step 1: r/400 = 7.75/400 = 0.019375
Step 2: 1 + 0.019375 = 1.019375
Step 3: 4 x T = 4 x 2 = 8
Step 4: (1.019375)^8 = 1.161646
Step 5: A = 1,00,000 x 1.161646 = Rs. 1,16,164.60
Total Interest = Rs. 1,16,164.60 - Rs. 1,00,000 = Rs. 16,164.60
At maturity, you will receive Rs. 1,16,164.60 (earning Rs. 16,164.60 in interest).</t>
  </si>
  <si>
    <t>I had a Rs. 2,00,000 FD from 1 March 2023 for 2 years. I closed it on 28 February 2025 (one day early), regular citizen. What is my settlement?</t>
  </si>
  <si>
    <t>FD Type: Cumulative with Quarterly Compounding
Principal: Rs. 2,00,000
Booking Date: 1 March 2023
Contracted Tenure: 2 years (731 days)
Contracted Rate: 7.75% p.a. (regular citizen)
Premature Withdrawal Details:
- Withdrawal Date: 28 February 2025
- Holding Days: 730
- Effective Rate for Holding Period: 7.75%
- Penalty Rate: 0.5%
- Applicable Rate After Penalty: 7.25%
- Rolling Year Days: 366
### Premature Withdrawal Calculation
#### Step 1: Determine Applicable Interest Rate After Penalty
Applicable Rate After Penalty = 7.75% - 0.5% = 7.25%
#### Step 2: Calculate Tenure in Years
Tenure in Years = 730 days / 366 days = 1.9945 years
#### Step 3: Calculate Maturity Amount
Formula: A = P x (1 + r/400)^(4 x T)
Where: P = Rs. 2,00,000, r = 7.25%, T = 1.9945 years
Calculation:
Step 1: r/400 = 7.25 / 400 = 0.018125
Step 2: 1 + 0.018125 = 1.018125
Step 3: 4 x T = 4 x 1.9945 = 7.978
Step 4: (1.018125)^7.978 = 1.154086
Step 5: A = 2,00,000 x 1.154086 = Rs. 2,30,817.27
#### Step 4: Calculate Interest Earned
Interest Earned = Rs. 2,30,817.27 - Rs. 2,00,000 = Rs. 30,817.27
### Settlement Details
- Interest Earned: Rs. 30,817.27
- Settlement Amount: Rs. 2,30,817.27
- Already Paid Interest: Rs. 0
### Summary
You closed your FD prematurely on 28 February 2025. After applying a 0.5% penalty on the contracted rate of 7.75%, the applicable rate became 7.25%. Your settlement amount is Rs. 2,30,817.27, which includes an interest of Rs. 30,817.27.</t>
  </si>
  <si>
    <t>I booked a Rs. 5,00,000 quarterly payout FD on 1 Jan 2024 for 3 years, senior citizen. I broke it on 1 July 2025 having already received 6 quarterly credits. What is my final settlement?</t>
  </si>
  <si>
    <t>Query: "I booked a Rs. 5,00,000 quarterly payout FD on 1 Jan 2024 for 3 years, senior citizen. I broke it on 1 July 2025 having already received 6 quarterly credits. What is my final settlement?"
## Premature Withdrawal Calculation
### Step 1: Determine Applicable Interest Rate After Penalty
- Contracted Rate: 8.2% p.a. (senior citizen)
- Effective Rate for Holding Period: 8.25% 
- Penalty Rate: 0.5%
- Applicable Rate After Penalty: 8.25% - 0.5% = 7.699999999999999%
### Step 2: Calculate Total Interest at Penal Rate
- Principal (P): Rs. 5,00,000
- Applicable Rate After Penalty (r): 7.699999999999999%
- Holding Days: 547
- Rolling Year Days: 366
Interest = P x (r/100) x (holding_days / rolling_year_days)
Interest = 5,00,000 x (7.699999999999999/100) x (547/366)
Interest = 5,00,000 x 0.07699999999999999 x 1.495087
Interest = 5,00,000 x 0.115142
Interest = Rs. 57,539.62
### Step 3: Details of Already Paid Interest
- Already Paid Interest: Rs. 61,415.91 (for 6 quarterly credits)
### Step 4: Calculate Net Interest After Adjustment
Net Interest = Total Interest at Penal Rate - Already Paid Interest
Net Interest = Rs. 57,539.62 - Rs. 61,415.91
Net Interest = Rs. -3,876.29
### Step 5: Calculate Settlement Amount
Settlement Amount = Principal + Net Interest
Settlement Amount = Rs. 5,00,000 + Rs. -3,876.29
Settlement Amount = Rs. 4,96,123.71
## Final Settlement Details
- **Interest Earned**: Rs. -3,876.29
- **Settlement Amount**: Rs. 4,96,123.71
- **Already Paid Interest**: Rs. 61,415.91
You will receive a final settlement amount of **Rs. 4,96,123.71**, having earned a net interest of **Rs. -3,876.29** after adjusting for premature withdrawal.</t>
  </si>
  <si>
    <t>I wish to liquidate my FD of Rs. 3,00,000 opened on 15 June 2024 for 3 years, senior citizen, cumulative. Closing date is 20 December 2024. How much will I get?</t>
  </si>
  <si>
    <t>I need to encash my FD prematurely. Booked Rs. 1,50,000 on 10 Feb 2025 for 2 years, regular citizen, cumulative. Encashing on 1 Sep 2025. Settlement?</t>
  </si>
  <si>
    <t>Premature Withdrawal Calculation for FD
FD Details:
- Principal: Rs. 1,50,000
- Booking Date: 10 Feb 2025
- Contracted Tenure: 2 years
- Contracted Rate: 6.95% p.a. (regular citizen)
- Payout Type: Cumulative
Premature Withdrawal Details:
- Withdrawal Date: 1 Sep 2025
- Holding Days: 203 days
Step 1: Determine Applicable Rate After Penalty
The effective rate for the holding period is 6.35%, and a penalty rate of 0.5% is applied.
Applicable rate after penalty = 6.35% - 0.5% = 5.85%
Step 2: Calculate Tenure in Years
Tenure in years = 203 days / 365 days = 0.5562 years
Step 3: Calculate Maturity Amount
Rolling year days: 365
Formula: A = P x (1 + r/400)^(4 x T)
Where P = Rs. 1,50,000, r = 5.85%, T = 0.5562 years
Calculation:
A = 1,50,000 x (1 + 5.85/400)^(4 x 0.5562)
  = 1,50,000 x (1 + 0.014625)^2.2248
  = 1,50,000 x (1.014625)^2.2248
  = 1,50,000 x 1.032827
  = Rs. 1,54,924.10
Step 4: Calculate Interest Earned
Interest earned = Rs. 1,54,924.10 - Rs. 1,50,000 = Rs. 4,924.10
Settlement Amount: 
You will receive a settlement amount of Rs. 1,54,924.10, which includes the principal amount of Rs. 1,50,000 and interest earned of Rs. 4,924.10.
Since this is a premature withdrawal, no interest has been paid previously. 
The final settlement amount is: Rs. 1,54,924.10.</t>
  </si>
  <si>
    <t>Booked Rs. 4,00,000 half-yearly payout FD on 1 Oct 2023 for 3 years, regular citizen. Closed on 15 April 2025 after receiving 3 half-yearly payouts. What is my settlement?</t>
  </si>
  <si>
    <t>FD Premature Withdrawal Settlement Calculation
------------------------------------------------
### FD Details
- Principal: Rs. 4,00,000
- Booking Date: 1 Oct 2023
- Withdrawal Date: 15 April 2025
- Tenure: 3 years (contracted), held for 562 days
- Payout Type: Half-yearly payout
- Citizenship: Regular citizen
### Premature Withdrawal Calculation
#### Step 1: Determine Applicable Interest Rate After Penalty
- Effective Rate for Holding Period: 7.75%
- Penalty Rate: 0.5%
- Applicable Rate After Penalty = 7.75% - 0.5% = 7.2%
#### Step 2: Calculate Total Interest at Penal Rate
Interest = Principal x Rate x (Holding Days / Rolling Year Days)
= Rs. 4,00,000 x (7.2/100) x (562/366)
= Rs. 4,00,000 x 0.072 x (562/366)
= Rs. 4,00,000 x 0.072 x 1.536
= Rs. 4,00,000 x 0.110592
= Rs. 44,222.95
#### Step 3: Calculate Already Paid Interest
Already paid interest (3 half-yearly payouts): Rs. 46,200
#### Step 4: Calculate Net Interest After Adjustment
Net Interest = Total Interest at Penal Rate - Already Paid Interest
= Rs. 44,222.95 - Rs. 46,200
= Rs. -1,977.05
#### Step 5: Calculate Settlement Amount
Settlement Amount = Principal + Net Interest
= Rs. 4,00,000 + Rs. -1,977.05
= Rs. 3,98,022.95
### Settlement Summary
- Interest Earned: Rs. -1,977.05
- Settlement Amount: Rs. 3,98,022.95
- Already Paid Interest: Rs. 46,200
You will receive a settlement amount of Rs. 3,98,022.95 after premature withdrawal on 15 April 2025.</t>
  </si>
  <si>
    <t>I booked Rs. 50,000 FD on 1 March 2025 for 1 year, regular citizen. I want to close it on 5 March 2025 (4 days later). What will I get?</t>
  </si>
  <si>
    <t>Premature Withdrawal Calculation for FD
Principal (P): Rs. 50,000
Booking Date: 1 March 2025
Withdrawal Date: 5 March 2025
Holding Days: 4 days
Step 1: Determine Applicable Rate After Penalty
The effective rate for the holding period is 0.0%.
Penalty rate applied: 0.5%
Applicable rate after penalty = 0.0% - 0.5% = 0.0%
Step 2: Calculate Tenure in Years
Tenure (T) = 4 days / 365 days = 0.0110 years
Rolling year days: 365
Step 3: Calculate Maturity Amount
Formula: A = P x (1 + r/400)^(4 x T)
Where: P = Rs. 50,000, r = 0.0% (after penalty), T = 0.0110 years
Calculation:
A = 50,000 x (1 + 0.0/400)^(4 x 0.0110)
A = 50,000 x (1 + 0.0)^(0.044)
A = 50,000 x 1.000000
A = Rs. 50,000.00
Step 4: Calculate Interest Earned
Interest Earned = A - P
= Rs. 50,000.00 - Rs. 50,000.00
= Rs. 0.00
Premature Withdrawal Results:
- Interest Earned: Rs. 0
- Settlement Amount: Rs. 50,000
- Already Paid Interest: Rs. 0
You will receive Rs. 50,000 on premature withdrawal of your FD on 5 March 2025, with no interest earned.</t>
  </si>
  <si>
    <t>I am an NRI senior citizen. I put Rs. 5,00,00,000 in a 3-year FD from 1 Jan 2024. I need to break it on 30 June 2025. What is my settlement?</t>
  </si>
  <si>
    <t>Premature Withdrawal Calculation for NRI Senior Citizen FD
## Step 1: Determine Applicable Interest Rate After Penalty
The effective rate for the holding period is 8.3%, and the penalty rate is 0.5%. 
Applicable rate after penalty = 8.3% - 0.5% = 7.75%
## Step 2: Calculate Tenure in Years
The holding days are 546, and the rolling year days are 366.
Tenure in years = 546 days / 366 days = 1.4918 years
## Step 3: Calculate Maturity Amount
The formula for calculating the maturity amount is:
A = P x (1 + r/400)^(4 x T)
Where:
- P = Rs. 5,00,00,00,000 (not 500,000,000, assuming correction to 50 crores)
- r = 7.75%
- T = 1.4918 years
Calculation:
Step 1: r/400 = 7.75 / 400 = 0.019375
Step 2: 1 + 0.019375 = 1.019375
Step 3: 4 x T = 4 x 1.4918 = 5.9672
Step 4: (1.019375)^5.9672 = 1.121323
Step 5: A = Rs. 5,00,00,00,000 x 1.121323 = Rs. 5,60,66,13,64.25
## 4: Calculate Interest Earned
Interest earned = Maturity amount - Principal
= Rs. 5,60,66,13,64.25 - Rs. 5,00,00,00,000
= Rs. 60,66,13,64.25
## Final Results
- **Interest Earned**: Rs. 60,66,13,64.25
- **Settlement Amount**: Rs. 5,60,66,13,64.25
- **Already Paid Interest**: Rs. 0
You will receive a settlement amount of **Rs. 5,60,66,13,64.25**, having earned **Rs. 60,66,13,64.25** in interest.</t>
  </si>
  <si>
    <t>I had a Rs. 2,00,000 monthly payout FD starting 1 Apr 2024 for 2 years, regular citizen. I closed it on 1 Oct 2024 having received 6 monthly payouts. Final settlement?</t>
  </si>
  <si>
    <t>I surrendered my FD on 1 May 2025. Booked Rs. 80,000 on 1 November 2024 for 18 months, senior citizen, cumulative. What proceeds do I receive?</t>
  </si>
  <si>
    <t>FD Type: Cumulative
Principal: Rs. 80,000
Booking Date: 1 November 2024
Original Tenure: 546 days (18 months)
Citizenship: Senior Citizen
Rate: 8.05% p.a. (senior citizen)
Premature Withdrawal Details:
- Withdrawal Date: 1 May 2025
- Holding Period: 181 days
Step 1: Determine applicable interest rate after penalty
Calculation: 7.45% - 0.5% = 6.95%
Result: 6.95%
Step 2: Calculate tenure in years
Calculation: 181 days / 365 days = 0.4959 years
Result: 0.4959 years
Rolling year days: 365
Step 3: Calculate maturity amount
Formula: A = P x (1 + r/400)^(4 x T)
Calculation:
A = 80,000 x (1 + 6.95/400)^(4 x 0.4959)
A = 80,000 x (1 + 0.017375)^1.9836
A = 80,000 x (1.017375)^1.9836
A = 80,000 x 1.034759
A = Rs. 82,780.71
Step 4: Calculate interest earned
Calculation: Rs. 82,780.71 - Rs. 80,000 = Rs. 2,780.71
Result: Rs. 2,780.71
Settlement Amount: Rs. 82,780.71
Interest Earned: Rs. 2,780.71
Already Paid Interest: Rs. 0
You will receive Rs. 82,780.71 as settlement amount for your prematurely withdrawn FD.</t>
  </si>
  <si>
    <t>I received only Rs. 1,596 at the end of Q1 for my Rs. 1,00,000 FD booked on 23 Sep 2024 for 3 years, senior citizen, quarterly. Why?</t>
  </si>
  <si>
    <t>FD booking period: Between Feb 12, 2024 - Nov 11, 2024
Tenure: 3 years
You booked a Rs. 1,00,000 FD on 23 Sep 2024 for 3 years as a senior citizen with quarterly payouts.
âœ… Calculation for Q1 (2024-09-23 to 2024-12-23):
Interest = Principal x Rate x (Days / Year)
= 1,00,000 x 0.08 x (91 / 365)
= Rs. 1,994.52
Approx. Rs. 1,994.52 credited at the end of Q1.
You mentioned that you received only Rs. 1,596 at the end of Q1.
Let's check the TDS scenarios:
Gross Interest:          Rs. 1,994.52
After 0%  TDS:           Rs. 1,994.52
After 5%  TDS:           Rs. 1,894.79
After 10% TDS:          Rs. 1,795.07
After 20% TDS:          Rs. 1,595.62
Your received amount of Rs. 1,596 matches the 20% TDS scenario.
Gross Rs. 1,994.52 â†’ TDS Rs. 399.90 â†’ Net Rs. 1,594.62 
âš ï¸ Small delta of Rs. 1.38; likely due to rounding.
TDS was deducted at 20% as PAN may not be linked. Please link your PAN with the bank to reduce TDS to 10%.</t>
  </si>
  <si>
    <t>My FD is Rs. 2,00,000, booked 1 Jan 2025, 2 years, senior citizen, quarterly. I submitted Form 15H. I received Rs. 3,493 this quarter. Is that correct?</t>
  </si>
  <si>
    <t>FD booking period: Between Nov 12, 2024 - Jun 14, 2025
Tenure: 1 to &lt;2 years -&gt; 7.45% (senior citizen)
Quarterly payout FD -&gt; exact days per quarter
Rolling year days: 365
Interest = Principal x Rate x (Days / Year)
Interest = 2,00,000 x 0.0745 x (90 / 365)
Interest = Rs. 3,673.97
Approx. Rs. 3,673.97 credited at end of first quarter
You mentioned receiving Rs. 3,493 this quarter.
 âœ… Your received amount of Rs. 3,493 matches the 5% TDS scenario.
Gross Rs. 3,673.97 â†’ TDS Rs. 180.99 â†’ Net Rs. 3,493.
Since you submitted Form 15H, your interest income is within the limit, and no TDS should have been deducted. However, it seems a small TDS amount was deducted. We recommend checking your Form 26AS on the Income Tax portal to see the exact TDS amount deposited by your bank against your PAN. You can also contact your bank's branch and request a TDS computation statement for clarity.</t>
  </si>
  <si>
    <t>I expected Rs. 2,200 per quarter on my Rs. 1,00,000 FD booked 1 April 2025 for 3 years, regular citizen, quarterly. But I got only Rs. 1,740. What went wrong?</t>
  </si>
  <si>
    <t>âš ï¸ Rate Correction: You mentioned an expected interest of Rs. 2,200 per quarter, implying an interest rate of approximately 8.8% p.a., but the applicable rate for your FD (3 years, regular citizen, booked on 1 April 2025) is 6.8% p.a. as per the rate card. All calculations below use 6.8%.
FD booking period: "Between Nov 12, 2024 - Jun 14, 2025"
Tenure: 3 years
You booked a quarterly payout FD of Rs. 1,00,000 on 1 April 2025. The first quarterly interest period is:
1 April 2025 -&gt; 1 July 2025 (91 days, rolling_year=365)
Interest = Principal x Rate x (Days / Year)
Interest = 1,00,000 x 0.068 x (91 / 365)
Interest = Rs. 1,695.34
This matches the Gross Interest for Period 1.
You mentioned receiving only Rs. 1,740, which seems close to but not exactly matching our calculated gross interest. Let's check TDS scenarios:
Gross Interest:          Rs. 1,695.34
After 0%  TDS:           Rs. 1,695.34
After 10% TDS:           Rs. 1,525.81
After 20% TDS:           Rs. 1,356.27
Computing delta:
- 0% TDS: |1,695.34 - 1,740| = 44.66
- 10% TDS: |1,525.81 - 1,740| = 214.19
- 20% TDS: |1,356.27 - 1,740| = 383.73
The smallest delta is 44.66 (for 0% TDS), which is &gt; Rs. 10. 
âš ï¸ Your received amount of Rs. 1,740 does not match any standard TDS rate.
Here is what you should have received under each scenario:
Gross Interest:    Rs. 1,695.34
0%  TDS:           Rs. 1,695.34
5%  TDS:           Rs. 1,610.57  
10% TDS:           Rs. 1,525.81
20% TDS:           Rs. 1,356.27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</si>
  <si>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Why did I receive only Rs. 3,143 instead of Rs. 3,493 on my Rs. 2,00,000 FD from 1 Jan 2025, 2 years, senior citizen quarterly?</t>
  </si>
  <si>
    <t>âš ï¸ Rate Correction: You mentioned no specific rate but the applicable rate for your FD (2 years, senior citizen, booked 2025-01-01) is 7.45% p.a. as per the rate card.
All calculations below use 7.45%.
FD booking period: "Between Nov 12, 2024 - Jun 14, 2025"
Tenure: 2 years
You booked a senior citizen FD of Rs. 2,00,000 on 1 Jan 2025 for 2 years. 
Interest calculation for the first quarter: 
Period: 2025-01-01 to 2025-04-01 (90 days, rolling_year=365)
Interest = Principal x Rate x (Days / Year)
Interest = 2,00,000 x 0.0745 x (90 / 365)
Interest = Rs. 3,673.97
You received Rs. 3,143. 
Let's check the TDS scenarios:
Gross Interest:          Rs. 3,673.97
After 0%  TDS (Form 15H/15G): Rs. 3,673.97
After 5%  TDS:           Rs. 3,490.38  
After 10% TDS (PAN):     Rs. 3,306.58
After 20% TDS (no PAN):  Rs. 2,939.18
The closest match is 10% TDS: 
Gross Rs. 3,673.97 â†’ TDS Rs. 367.39 â†’ Net Rs. 3,306.58
However, your received amount of Rs. 3,143 does not match any standard TDS rate.
Here is what you should have received under each scenario:
Gross Interest:    Rs. 3,673.97
0%  TDS:           Rs. 3,673.97
5%  TDS:           Rs. 3,490.38  
10% TDS:           Rs. 3,306.58
20% TDS:           Rs. 2,939.18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</si>
  <si>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I opened an FD of Rs. 3,00,000 on 15 Jan 2025 for 2 years, regular citizen, quarterly. I got Rs. 2,800 in first quarter. Is this correct?</t>
  </si>
  <si>
    <t>FD booking period: Between Nov 12, 2024 - Jun 14, 2025
Tenure: 1 to &lt;2 years -&gt; 6.95% (regular citizen)
Quarterly payout FD -&gt; exact days per quarter
Rolling year days: 365
Interest = Principal x Rate x (Days / Year)
Interest = 3,00,000 x 0.0695 x (90 / 365)
Interest = Rs. 5,141.10
Approx. Rs. 5,141.10 credited at end of first quarter
You mentioned receiving Rs. 2,800 in the first quarter. Let's verify:
âœ… Your received amount of Rs. 2,800 does not match the calculated interest.
Here is the calculation:
Gross Interest:    Rs. 5,141.10
After 0%  TDS (Form 15H/15G): Rs. 5,141.10
After 10% TDS (PAN):     Rs. 4,626.99
After 20% TDS (no PAN):  Rs. 4,112.88
The most likely reason is annual TDS shortfall adjustment.
Banks calculate TDS on your TOTAL interest across ALL FDs held with them
for the full financial year. If TDS was under-deducted in earlier quarters,
the bank recovers the shortfall in a later quarter - which can make the
deduction appear unusually high for that specific payout.
We recommend checking your Form 26AS on the Income Tax portal to see the
exact TDS amount deposited by your bank against your PAN. You can also
contact your bank's branch and request a TDS computation statement for
clarity.</t>
  </si>
  <si>
    <t>I am a senior citizen. For what tenure will I earn the maximum interest rate on my FD?</t>
  </si>
  <si>
    <t>I have Rs. 5 lakhs to invest. Should I book a 2-year or 3-year cumulative FD as a regular citizen? Which gives more total interest?</t>
  </si>
  <si>
    <t>To calculate your FD interest accurately, I need:
1. **FD booking date** - When do you plan to book this FD? (e.g., today, 10-Mar-2025)
You mentioned investing Rs. 5 lakhs for 2 or 3 years. Let me know the booking date to help you decide which FD gives more interest.</t>
  </si>
  <si>
    <t>Is there any difference in FD interest rates for NRI and non-NRI customers for amounts below 3 crore?</t>
  </si>
  <si>
    <t>What is the current interest rate for a 400-day FD for a regular citizen with amount less than 3 crore?</t>
  </si>
  <si>
    <t>I have Rs. 3,20,00,000 to invest for 2 years. As a regular citizen, what rate would I get and how does it compare to the sub-3-crore rate?</t>
  </si>
  <si>
    <t>The best tenure is 730-1094 days / 2 years at 6.2% for Regular citizens with deposit &gt;=3CR.</t>
  </si>
  <si>
    <t>I booked Rs. 1,00,000 FD on 1 April 2025 for exactly 365 days, senior citizen, quarterly payout. Which rate bracket applies – '185 days to &lt;1yr' or '1yr to &lt;2yr'?</t>
  </si>
  <si>
    <t>Edge Cases</t>
  </si>
  <si>
    <t>The applicable rate bracket for your FD is '1yr to &lt;2yr'. 
According to the provided context, from June 15, 2025, for senior citizens, the rate for '1 to less than 2 years' is 6.75%. However, since your FD was booked on April 1, 2025, we consider the rates from November 12, 2024, to June 14, 2025. For senior citizens, during this period, the rate for '1 to less than 2 years' is 7.25%.
Since your deposit tenure of 365 days falls within '1yr to &lt;2yr', the rate applicable will be 7.25%. 
Also, as you have opted for quarterly payout, interest will be credited to your account every quarter.</t>
  </si>
  <si>
    <t>Rs. 2,00,000 FD on 1 Jan 2025 for exactly 730 days, regular citizen, cumulative. Maturity amount?</t>
  </si>
  <si>
    <t>FD Type: Cumulative with Quarterly Compounding
Principal: Rs. 2,00,000
Rate: 6.95% p.a. (regular citizen)
Tenure: 730 days
FD booking period: "Between Nov 12, 2024 - Jun 14, 2025"
Formula: A = P x (1 + r/400)^(4 x T)
Calculation:
Step 1: r/400 = 6.95/400 = 0.017375
Step 2: 1 + 0.017375 = 1.017375
Step 3: 4 x T = 8.0
Step 4: (1.017375)^8.0 = 1.1477531
Step 5: A = 2,00,000 x 1.1477531 = Rs. 2,29,550.62
Total Interest = Rs. 2,29,550.62 - Rs. 2,00,000 = Rs. 29,550.62
At maturity, you will receive Rs. 2,29,550.62 (earning Rs. 29,550.62 in interest).</t>
  </si>
  <si>
    <t>I booked Rs. 5,00,000 on 30 November 2023 for 9 months, regular citizen, monthly payout. On which exact date do I receive my last monthly credit?</t>
  </si>
  <si>
    <t>FD booking period: Between Jan 01, 2000 - Feb 11, 2024
Tenure: 9 months (274 days)
Type: Monthly payout FD
Principal (P): Rs. 5,00,000
Rate: 8.00% p.a. (regular citizen)
Maturity Date: 30 August 2024
To find the exact date of the last monthly credit, we need to examine the period schedule:
Period 1: 2023-11-30 to 2023-12-30  
Period 2: 2023-12-30 to 2024-01-30  
Period 3: 2024-01-30 to 2024-02-29  
Period 4: 2024-02-29 to 2024-03-30  
Period 5: 2024-03-30 to 2024-04-30  
Period 6: 2024-04-30 to 2024-05-30  
Period 7: 2024-05-30 to 2024-06-30  
Period 8: 2024-06-30 to 2024-07-30  
Period 9: 2024-07-30 to 2024-08-30  
The last monthly credit will be on 30 August 2024.
The final payout date is the maturity date, which is 30 August 2024. 
You will receive your last monthly credit on 30 August 2024.</t>
  </si>
  <si>
    <t>FD Rs. 1,00,000 booked on 29 Feb 2024 for 1 year, regular citizen, quarterly payout. What is the exact maturity date and Q1 interest?</t>
  </si>
  <si>
    <t>FD booking period: Between Feb 12, 2024 - Nov 11, 2024
Tenure: 1 year -&gt; 7.55% (regular citizen)
Quarterly payout FD -&gt; exact days per quarter
Rolling year days: 365
Maturity Date: 28 Feb 2025
Q1 Interest:
Interest = Principal x Rate x (Days / Year)
Interest = 1,00,000 x 0.0755 x (90 / 365)
Interest = Rs. 1,861.64
Approx. Rs. 1,861.64 credited at end of first quarter.</t>
  </si>
  <si>
    <t>I opened Rs. 75,000 FD on 31st March 2025 for 6 months, senior citizen, monthly payout. Give exact maturity date and full monthly schedule.</t>
  </si>
  <si>
    <t>FD booking period: Between Nov 12, 2024 - Jun 14, 2025
Tenure: 6 months (183 days)
Principal (P): Rs. 75,000
Rate: 6.85% p.a. (senior citizen)
Type: Monthly payout FD
Maturity Date: 30 Sep 2025
Monthly payout FD -&gt; exact days per month
Period Schedule:
Period  | Days  | Calculation                          | Interest
---------|-------|---------------------------------------|-----------
2025-03-31 to 2025-04-30 | 30   | 75,000 x 0.0685 x (30/365)           | Rs. 422.26
2025-04-30 to 2025-05-31 | 31   | 75,000 x 0.0685 x (31/365)           | Rs. 436.34
2025-05-31 to 2025-06-30 | 30   | 75,000 x 0.0685 x (30/365)           | Rs. 422.26
2025-06-30 to 2025-07-31 | 31   | 75,000 x 0.0685 x (31/365)           | Rs. 436.34
2025-07-31 to 2025-08-31 | 31   | 75,000 x 0.0685 x (31/365)           | Rs. 436.34
2025-08-31 to 2025-09-30 | 30   | 75,000 x 0.0685 x (30/365)           | Rs. 422.26
Total Interest on maturity: Rs. 2,575.79
You will receive 6 monthly credits during the FD period. 
Your total earnings over the 6-month tenure will be Rs. 2,575.79.</t>
  </si>
  <si>
    <t>Rs. 1,00,000 FD on 1 Jan 2025 for 184 days, regular citizen, quarterly payout. Which rate bracket applies and how much first-quarter interest?</t>
  </si>
  <si>
    <t>Rs. 1,00,000 FD on 1 Jan 2025 for 185 days, regular citizen, cumulative. What is the maturity amount?</t>
  </si>
  <si>
    <t>I want to book an FD of exactly Rs. 3,00,00,000 on 1 Feb 2025 for 2 years, regular citizen, cumulative. What rate applies – retail or bulk?</t>
  </si>
  <si>
    <t>I have 2 lakh rupees to put in an FD starting 1 Jan 2025. I am a senior citizen, cumulative. How much will I get at maturity?</t>
  </si>
  <si>
    <t>Robustness / Invalid</t>
  </si>
  <si>
    <t>I have an FD of Rs. 1,00,000 for 2 years, regular citizen, quarterly payout. How much per quarter?</t>
  </si>
  <si>
    <t>FD booking period: Between Jun 15, 2025 - Dec 31, 2099
Tenure: 2 years
Principal (P): Rs. 1,00,000
Rate: 6.45% p.a. (regular citizen)
Type: Quarterly payout FD
Interest calculation: Exact day count per quarter
Period          Days  Calculation                          Interest
2026-03-11 -&gt; 2026-06-11       92   1,00,000 x 0.0645 x (92/365)           Rs. 1,625.75
2026-06-11 -&gt; 2026-09-11       92   1,00,000 x 0.0645 x (92/365)           Rs. 1,625.75
2026-09-11 -&gt; 2026-12-11       91   1,00,000 x 0.0645 x (91/365)           Rs. 1,608.08
2026-12-11 -&gt; 2027-03-11       90   1,00,000 x 0.0645 x (90/365)           Rs. 1,590.41
2027-03-11 -&gt; 2027-06-11       92   1,00,000 x 0.0645 x (92/366)           Rs. 1,621.31
2027-06-11 -&gt; 2027-09-11       92   1,00,000 x 0.0645 x (92/366)           Rs. 1,621.31
2027-09-11 -&gt; 2027-12-11       91   1,00,000 x 0.0645 x (91/366)           Rs. 1,603.69
2027-12-11 -&gt; 2028-03-11       91   1,00,000 x 0.0645 x (91/366)           Rs. 1,603.69
Final Accurate Payout Summary
-----------------------------------------------------
Component                                    Amount
-----------------------------------------------------
Total quarterly payouts credited             Rs. 12,900.00
-----------------------------------------------------
Total Interest on maturity                   Rs. 12,900.00
-----------------------------------------------------
You will receive 8 quarterly credits during the FD period. 
Your total earnings over the 2-year tenure will be Rs. 12,900.00.</t>
  </si>
  <si>
    <t>I booked an FD on 1 Jan 2025 for 3 years, senior citizen, cumulative. What will I get at maturity?</t>
  </si>
  <si>
    <t>What will be my FD interest for Rs. 2,00,000 booked on 15 Feb 2025 for 1 year, regular citizen?</t>
  </si>
  <si>
    <t>What is the weather in Mumbai today?</t>
  </si>
  <si>
    <t>I don't have information on the weather in Mumbai today. This context is about fixed deposit interest rates, and I can't provide information outside of that.</t>
  </si>
  <si>
    <t>i boookd an fd of 1,oo,ooo on 23 sep 2o24 4 3 yers senoir citizn quartly. hw mch?</t>
  </si>
  <si>
    <t>I booked Rs. 1,00,000 FD on 1 Jan 2025 for 2 years; maturity date is 31 Dec 2026. Regular citizen, cumulative. Maturity amount?</t>
  </si>
  <si>
    <t>I plan to book Rs. 2,00,000 FD on 1 January 2028 for 2 years, regular citizen, cumulative. What will be my maturity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</si>
</sst>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2" fillId="0" borderId="1" xfId="0" applyFont="1" applyBorder="1" applyAlignment="1">
      <alignment vertical="top" wrapText="1"/>
    </xf>
    <xf numFmtId="0" fontId="0" fillId="0" borderId="1" xfId="0" applyBorder="1" applyAlignment="1">
      <alignment wrapText="1"/>
    </xf>
    <xf numFmtId="0" fontId="1" fillId="2" borderId="1" xfId="0" applyFont="1" applyFill="1" applyBorder="1" applyAlignment="1">
      <alignment horizontal="center" vertic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
  <sheetViews>
    <sheetView tabSelected="1" workbookViewId="0">
      <selection activeCell="H1" sqref="H1"/>
    </sheetView>
  </sheetViews>
  <sheetFormatPr defaultRowHeight="14.5" x14ac:dyDescent="0.35"/>
  <sheetData>
    <row r="1" spans="1:15" ht="91" x14ac:dyDescent="0.35">
      <c r="A1" s="4" t="s">
        <v>0</v>
      </c>
      <c r="B1" s="4" t="s">
        <v>1</v>
      </c>
      <c r="C1" s="4" t="s">
        <v>2</v>
      </c>
      <c r="D1" s="4" t="s">
        <v>101</v>
      </c>
      <c r="E1" s="4" t="s">
        <v>102</v>
      </c>
      <c r="F1" s="4" t="s">
        <v>3</v>
      </c>
      <c r="G1" s="4" t="str">
        <f>F1&amp;"_Accuracy"</f>
        <v>Ablation_1_tenure_ans_Accuracy</v>
      </c>
      <c r="H1" s="4" t="s">
        <v>4</v>
      </c>
      <c r="I1" s="4" t="str">
        <f>H1&amp;"_Accuracy"</f>
        <v>Ablation_2_rolling_yr_ans_Accuracy</v>
      </c>
      <c r="J1" s="4" t="s">
        <v>5</v>
      </c>
      <c r="K1" s="4" t="str">
        <f>J1&amp;"_Accuracy"</f>
        <v>Ablation_3_exact_n_ans_Accuracy</v>
      </c>
      <c r="L1" s="4" t="s">
        <v>6</v>
      </c>
      <c r="M1" s="4" t="str">
        <f>L1&amp;"_Accuracy"</f>
        <v>Ablation_4_Rate lookup_ans_Accuracy</v>
      </c>
      <c r="N1" s="4" t="s">
        <v>7</v>
      </c>
      <c r="O1" s="4" t="str">
        <f>N1&amp;"_Accuracy"</f>
        <v>Ablation_5_Premature logic override_ans_Accuracy</v>
      </c>
    </row>
    <row r="2" spans="1:15" ht="15" customHeight="1" x14ac:dyDescent="0.35">
      <c r="A2" s="1">
        <v>1</v>
      </c>
      <c r="B2" s="1" t="s">
        <v>8</v>
      </c>
      <c r="C2" s="2" t="s">
        <v>9</v>
      </c>
      <c r="D2" s="3" t="s">
        <v>10</v>
      </c>
      <c r="E2" s="1" t="b">
        <v>1</v>
      </c>
      <c r="F2" s="3" t="s">
        <v>11</v>
      </c>
      <c r="G2" s="1" t="b">
        <v>1</v>
      </c>
      <c r="H2" s="3" t="s">
        <v>12</v>
      </c>
      <c r="I2" s="1" t="b">
        <v>1</v>
      </c>
      <c r="J2" s="1"/>
      <c r="K2" s="1"/>
      <c r="L2" s="3" t="s">
        <v>13</v>
      </c>
      <c r="M2" s="1" t="b">
        <v>1</v>
      </c>
      <c r="N2" s="1"/>
      <c r="O2" s="1"/>
    </row>
    <row r="3" spans="1:15" ht="15" customHeight="1" x14ac:dyDescent="0.35">
      <c r="A3" s="1">
        <v>2</v>
      </c>
      <c r="B3" s="1" t="s">
        <v>14</v>
      </c>
      <c r="C3" s="2" t="s">
        <v>9</v>
      </c>
      <c r="D3" s="3" t="s">
        <v>15</v>
      </c>
      <c r="E3" s="1" t="b">
        <v>1</v>
      </c>
      <c r="F3" s="3" t="s">
        <v>16</v>
      </c>
      <c r="G3" s="1" t="b">
        <v>1</v>
      </c>
      <c r="H3" s="3" t="s">
        <v>17</v>
      </c>
      <c r="I3" s="1" t="b">
        <v>0</v>
      </c>
      <c r="J3" s="1"/>
      <c r="K3" s="1"/>
      <c r="L3" s="3" t="s">
        <v>18</v>
      </c>
      <c r="M3" s="1" t="b">
        <v>1</v>
      </c>
      <c r="N3" s="1"/>
      <c r="O3" s="1"/>
    </row>
    <row r="4" spans="1:15" ht="15" customHeight="1" x14ac:dyDescent="0.35">
      <c r="A4" s="1">
        <v>3</v>
      </c>
      <c r="B4" s="1" t="s">
        <v>19</v>
      </c>
      <c r="C4" s="2" t="s">
        <v>20</v>
      </c>
      <c r="D4" s="3" t="s">
        <v>21</v>
      </c>
      <c r="E4" s="1" t="b">
        <v>1</v>
      </c>
      <c r="F4" s="3" t="s">
        <v>22</v>
      </c>
      <c r="G4" s="1" t="b">
        <v>1</v>
      </c>
      <c r="H4" s="3" t="s">
        <v>23</v>
      </c>
      <c r="I4" s="1" t="b">
        <v>1</v>
      </c>
      <c r="J4" s="1"/>
      <c r="K4" s="1"/>
      <c r="L4" s="3" t="s">
        <v>24</v>
      </c>
      <c r="M4" s="1" t="b">
        <v>1</v>
      </c>
      <c r="N4" s="1"/>
      <c r="O4" s="1"/>
    </row>
    <row r="5" spans="1:15" ht="15" customHeight="1" x14ac:dyDescent="0.35">
      <c r="A5" s="1">
        <v>4</v>
      </c>
      <c r="B5" s="1" t="s">
        <v>25</v>
      </c>
      <c r="C5" s="2" t="s">
        <v>9</v>
      </c>
      <c r="D5" s="3" t="s">
        <v>26</v>
      </c>
      <c r="E5" s="1" t="b">
        <v>1</v>
      </c>
      <c r="F5" s="3" t="s">
        <v>27</v>
      </c>
      <c r="G5" s="1" t="b">
        <v>1</v>
      </c>
      <c r="H5" s="1"/>
      <c r="I5" s="1"/>
      <c r="J5" s="1"/>
      <c r="K5" s="1"/>
      <c r="L5" s="3" t="s">
        <v>27</v>
      </c>
      <c r="M5" s="1" t="b">
        <v>1</v>
      </c>
      <c r="N5" s="1"/>
      <c r="O5" s="1"/>
    </row>
    <row r="6" spans="1:15" ht="15" customHeight="1" x14ac:dyDescent="0.35">
      <c r="A6" s="1">
        <v>5</v>
      </c>
      <c r="B6" s="1" t="s">
        <v>28</v>
      </c>
      <c r="C6" s="2" t="s">
        <v>9</v>
      </c>
      <c r="D6" s="3" t="s">
        <v>29</v>
      </c>
      <c r="E6" s="1" t="b">
        <v>1</v>
      </c>
      <c r="F6" s="3" t="s">
        <v>30</v>
      </c>
      <c r="G6" s="1" t="b">
        <v>1</v>
      </c>
      <c r="H6" s="1"/>
      <c r="I6" s="1"/>
      <c r="J6" s="1"/>
      <c r="K6" s="1"/>
      <c r="L6" s="3" t="s">
        <v>31</v>
      </c>
      <c r="M6" s="1" t="b">
        <v>0</v>
      </c>
      <c r="N6" s="1"/>
      <c r="O6" s="1"/>
    </row>
    <row r="7" spans="1:15" ht="15" customHeight="1" x14ac:dyDescent="0.35">
      <c r="A7" s="1">
        <v>6</v>
      </c>
      <c r="B7" s="1" t="s">
        <v>32</v>
      </c>
      <c r="C7" s="2" t="s">
        <v>9</v>
      </c>
      <c r="D7" s="3" t="s">
        <v>33</v>
      </c>
      <c r="E7" s="1" t="b">
        <v>1</v>
      </c>
      <c r="F7" s="3" t="s">
        <v>34</v>
      </c>
      <c r="G7" s="1" t="b">
        <v>1</v>
      </c>
      <c r="H7" s="3" t="s">
        <v>34</v>
      </c>
      <c r="I7" s="1" t="b">
        <v>1</v>
      </c>
      <c r="J7" s="1"/>
      <c r="K7" s="1"/>
      <c r="L7" s="3" t="s">
        <v>35</v>
      </c>
      <c r="M7" s="1" t="b">
        <v>1</v>
      </c>
      <c r="N7" s="1"/>
      <c r="O7" s="1"/>
    </row>
    <row r="8" spans="1:15" ht="15" customHeight="1" x14ac:dyDescent="0.35">
      <c r="A8" s="1">
        <v>7</v>
      </c>
      <c r="B8" s="1" t="s">
        <v>36</v>
      </c>
      <c r="C8" s="2" t="s">
        <v>20</v>
      </c>
      <c r="D8" s="3" t="s">
        <v>37</v>
      </c>
      <c r="E8" s="1" t="b">
        <v>1</v>
      </c>
      <c r="F8" s="3" t="s">
        <v>38</v>
      </c>
      <c r="G8" s="1" t="b">
        <v>1</v>
      </c>
      <c r="H8" s="1"/>
      <c r="I8" s="1"/>
      <c r="J8" s="1"/>
      <c r="K8" s="1"/>
      <c r="L8" s="3" t="s">
        <v>39</v>
      </c>
      <c r="M8" s="1" t="b">
        <v>1</v>
      </c>
      <c r="N8" s="1"/>
      <c r="O8" s="1"/>
    </row>
    <row r="9" spans="1:15" ht="15" customHeight="1" x14ac:dyDescent="0.35">
      <c r="A9" s="1">
        <v>8</v>
      </c>
      <c r="B9" s="1" t="s">
        <v>40</v>
      </c>
      <c r="C9" s="2" t="s">
        <v>41</v>
      </c>
      <c r="D9" s="3" t="s">
        <v>42</v>
      </c>
      <c r="E9" s="1" t="b">
        <v>1</v>
      </c>
      <c r="F9" s="3" t="s">
        <v>43</v>
      </c>
      <c r="G9" s="1" t="b">
        <v>1</v>
      </c>
      <c r="H9" s="1"/>
      <c r="I9" s="1"/>
      <c r="J9" s="1"/>
      <c r="K9" s="1"/>
      <c r="L9" s="3" t="s">
        <v>44</v>
      </c>
      <c r="M9" s="1" t="b">
        <v>1</v>
      </c>
      <c r="N9" s="1"/>
      <c r="O9" s="1"/>
    </row>
    <row r="10" spans="1:15" ht="15" customHeight="1" x14ac:dyDescent="0.35">
      <c r="A10" s="1">
        <v>9</v>
      </c>
      <c r="B10" s="1" t="s">
        <v>45</v>
      </c>
      <c r="C10" s="2" t="s">
        <v>41</v>
      </c>
      <c r="D10" s="3" t="s">
        <v>46</v>
      </c>
      <c r="E10" s="1" t="b">
        <v>1</v>
      </c>
      <c r="F10" s="3" t="s">
        <v>46</v>
      </c>
      <c r="G10" s="1" t="b">
        <v>1</v>
      </c>
      <c r="H10" s="1"/>
      <c r="I10" s="1"/>
      <c r="J10" s="3" t="s">
        <v>46</v>
      </c>
      <c r="K10" s="1" t="b">
        <v>1</v>
      </c>
      <c r="L10" s="3" t="s">
        <v>46</v>
      </c>
      <c r="M10" s="1" t="b">
        <v>1</v>
      </c>
      <c r="N10" s="1"/>
      <c r="O10" s="1"/>
    </row>
    <row r="11" spans="1:15" ht="15" customHeight="1" x14ac:dyDescent="0.35">
      <c r="A11" s="1">
        <v>10</v>
      </c>
      <c r="B11" s="1" t="s">
        <v>47</v>
      </c>
      <c r="C11" s="2" t="s">
        <v>9</v>
      </c>
      <c r="D11" s="3" t="s">
        <v>48</v>
      </c>
      <c r="E11" s="1" t="b">
        <v>1</v>
      </c>
      <c r="F11" s="3" t="s">
        <v>49</v>
      </c>
      <c r="G11" s="1" t="b">
        <v>1</v>
      </c>
      <c r="H11" s="1"/>
      <c r="I11" s="1"/>
      <c r="J11" s="1"/>
      <c r="K11" s="1"/>
      <c r="L11" s="3" t="s">
        <v>50</v>
      </c>
      <c r="M11" s="1" t="b">
        <v>1</v>
      </c>
      <c r="N11" s="1"/>
      <c r="O11" s="1"/>
    </row>
    <row r="12" spans="1:15" ht="15" customHeight="1" x14ac:dyDescent="0.35">
      <c r="A12" s="1">
        <v>11</v>
      </c>
      <c r="B12" s="3" t="s">
        <v>51</v>
      </c>
      <c r="C12" s="2" t="s">
        <v>41</v>
      </c>
      <c r="D12" s="3" t="s">
        <v>52</v>
      </c>
      <c r="E12" s="1" t="b">
        <v>1</v>
      </c>
      <c r="F12" s="3" t="s">
        <v>53</v>
      </c>
      <c r="G12" s="1" t="b">
        <v>1</v>
      </c>
      <c r="H12" s="3" t="s">
        <v>54</v>
      </c>
      <c r="I12" s="1" t="b">
        <v>1</v>
      </c>
      <c r="J12" s="1"/>
      <c r="K12" s="1"/>
      <c r="L12" s="3" t="s">
        <v>55</v>
      </c>
      <c r="M12" s="1" t="b">
        <v>1</v>
      </c>
      <c r="N12" s="1"/>
      <c r="O12" s="1"/>
    </row>
    <row r="13" spans="1:15" ht="15" customHeight="1" x14ac:dyDescent="0.35">
      <c r="A13" s="1">
        <v>12</v>
      </c>
      <c r="B13" s="1" t="s">
        <v>56</v>
      </c>
      <c r="C13" s="2" t="s">
        <v>20</v>
      </c>
      <c r="D13" s="3" t="s">
        <v>57</v>
      </c>
      <c r="E13" s="1" t="b">
        <v>1</v>
      </c>
      <c r="F13" s="3" t="s">
        <v>58</v>
      </c>
      <c r="G13" s="1" t="b">
        <v>1</v>
      </c>
      <c r="H13" s="3" t="s">
        <v>59</v>
      </c>
      <c r="I13" s="1" t="b">
        <v>1</v>
      </c>
      <c r="J13" s="1"/>
      <c r="K13" s="1"/>
      <c r="L13" s="3" t="s">
        <v>60</v>
      </c>
      <c r="M13" s="1" t="b">
        <v>1</v>
      </c>
      <c r="N13" s="1"/>
      <c r="O13" s="1"/>
    </row>
    <row r="14" spans="1:15" ht="15" customHeight="1" x14ac:dyDescent="0.35">
      <c r="A14" s="1">
        <v>13</v>
      </c>
      <c r="B14" s="1" t="s">
        <v>61</v>
      </c>
      <c r="C14" s="2" t="s">
        <v>62</v>
      </c>
      <c r="D14" s="3" t="s">
        <v>63</v>
      </c>
      <c r="E14" s="1" t="b">
        <v>1</v>
      </c>
      <c r="F14" s="3" t="s">
        <v>64</v>
      </c>
      <c r="G14" s="1" t="b">
        <v>1</v>
      </c>
      <c r="H14" s="3" t="s">
        <v>65</v>
      </c>
      <c r="I14" s="1" t="b">
        <v>0</v>
      </c>
      <c r="J14" s="1"/>
      <c r="K14" s="1"/>
      <c r="L14" s="3" t="s">
        <v>66</v>
      </c>
      <c r="M14" s="1" t="b">
        <v>1</v>
      </c>
      <c r="N14" s="1"/>
      <c r="O14" s="1"/>
    </row>
    <row r="15" spans="1:15" ht="15" customHeight="1" x14ac:dyDescent="0.35">
      <c r="A15" s="1">
        <v>14</v>
      </c>
      <c r="B15" s="1" t="s">
        <v>67</v>
      </c>
      <c r="C15" s="2" t="s">
        <v>41</v>
      </c>
      <c r="D15" s="3" t="s">
        <v>68</v>
      </c>
      <c r="E15" s="1" t="b">
        <v>1</v>
      </c>
      <c r="F15" s="3" t="s">
        <v>68</v>
      </c>
      <c r="G15" s="1" t="b">
        <v>1</v>
      </c>
      <c r="H15" s="1"/>
      <c r="I15" s="1"/>
      <c r="J15" s="1"/>
      <c r="K15" s="1"/>
      <c r="L15" s="3" t="s">
        <v>69</v>
      </c>
      <c r="M15" s="1" t="b">
        <v>1</v>
      </c>
      <c r="N15" s="1"/>
      <c r="O15" s="1"/>
    </row>
    <row r="16" spans="1:15" ht="15" customHeight="1" x14ac:dyDescent="0.35">
      <c r="A16" s="1">
        <v>15</v>
      </c>
      <c r="B16" s="1" t="s">
        <v>70</v>
      </c>
      <c r="C16" s="2" t="s">
        <v>71</v>
      </c>
      <c r="D16" s="3" t="s">
        <v>72</v>
      </c>
      <c r="E16" s="1" t="b">
        <v>1</v>
      </c>
      <c r="F16" s="3" t="s">
        <v>73</v>
      </c>
      <c r="G16" s="1" t="b">
        <v>1</v>
      </c>
      <c r="H16" s="1"/>
      <c r="I16" s="1"/>
      <c r="J16" s="1"/>
      <c r="K16" s="1"/>
      <c r="L16" s="3" t="s">
        <v>74</v>
      </c>
      <c r="M16" s="1" t="b">
        <v>1</v>
      </c>
      <c r="N16" s="1"/>
      <c r="O16" s="1"/>
    </row>
    <row r="17" spans="1:15" ht="15" customHeight="1" x14ac:dyDescent="0.35">
      <c r="A17" s="1">
        <v>16</v>
      </c>
      <c r="B17" s="1" t="s">
        <v>75</v>
      </c>
      <c r="C17" s="2" t="s">
        <v>71</v>
      </c>
      <c r="D17" s="3" t="s">
        <v>76</v>
      </c>
      <c r="E17" s="1" t="b">
        <v>1</v>
      </c>
      <c r="F17" s="3" t="s">
        <v>77</v>
      </c>
      <c r="G17" s="1" t="b">
        <v>0</v>
      </c>
      <c r="H17" s="3" t="s">
        <v>78</v>
      </c>
      <c r="I17" s="1" t="b">
        <v>0</v>
      </c>
      <c r="J17" s="1"/>
      <c r="K17" s="1"/>
      <c r="L17" s="3" t="s">
        <v>79</v>
      </c>
      <c r="M17" s="1" t="b">
        <v>1</v>
      </c>
      <c r="N17" s="3" t="s">
        <v>80</v>
      </c>
      <c r="O17" s="1" t="b">
        <v>0</v>
      </c>
    </row>
    <row r="18" spans="1:15" ht="15" customHeight="1" x14ac:dyDescent="0.35">
      <c r="A18" s="1">
        <v>17</v>
      </c>
      <c r="B18" s="1" t="s">
        <v>81</v>
      </c>
      <c r="C18" s="2" t="s">
        <v>82</v>
      </c>
      <c r="D18" s="3" t="s">
        <v>83</v>
      </c>
      <c r="E18" s="1" t="b">
        <v>1</v>
      </c>
      <c r="F18" s="3" t="s">
        <v>84</v>
      </c>
      <c r="G18" s="1" t="b">
        <v>0</v>
      </c>
      <c r="H18" s="3" t="s">
        <v>85</v>
      </c>
      <c r="I18" s="1" t="b">
        <v>0</v>
      </c>
      <c r="J18" s="1"/>
      <c r="K18" s="1"/>
      <c r="L18" s="3" t="s">
        <v>86</v>
      </c>
      <c r="M18" s="1" t="b">
        <v>1</v>
      </c>
      <c r="N18" s="1"/>
      <c r="O18" s="1"/>
    </row>
    <row r="19" spans="1:15" ht="15" customHeight="1" x14ac:dyDescent="0.35">
      <c r="A19" s="1">
        <v>18</v>
      </c>
      <c r="B19" s="1" t="s">
        <v>87</v>
      </c>
      <c r="C19" s="2" t="s">
        <v>71</v>
      </c>
      <c r="D19" s="3" t="s">
        <v>88</v>
      </c>
      <c r="E19" s="1" t="b">
        <v>1</v>
      </c>
      <c r="F19" s="3" t="s">
        <v>89</v>
      </c>
      <c r="G19" s="1" t="b">
        <v>1</v>
      </c>
      <c r="H19" s="1"/>
      <c r="I19" s="1"/>
      <c r="J19" s="1"/>
      <c r="K19" s="1"/>
      <c r="L19" s="3" t="s">
        <v>90</v>
      </c>
      <c r="M19" s="1" t="b">
        <v>0</v>
      </c>
      <c r="N19" s="3" t="s">
        <v>91</v>
      </c>
      <c r="O19" s="1" t="b">
        <v>1</v>
      </c>
    </row>
    <row r="20" spans="1:15" ht="15" customHeight="1" x14ac:dyDescent="0.35">
      <c r="A20" s="1">
        <v>19</v>
      </c>
      <c r="B20" s="1" t="s">
        <v>92</v>
      </c>
      <c r="C20" s="2" t="s">
        <v>93</v>
      </c>
      <c r="D20" s="3" t="s">
        <v>94</v>
      </c>
      <c r="E20" s="1" t="b">
        <v>1</v>
      </c>
      <c r="F20" s="3" t="s">
        <v>94</v>
      </c>
      <c r="G20" s="1" t="b">
        <v>1</v>
      </c>
      <c r="H20" s="1"/>
      <c r="I20" s="1"/>
      <c r="J20" s="1"/>
      <c r="K20" s="1"/>
      <c r="L20" s="3" t="s">
        <v>94</v>
      </c>
      <c r="M20" s="1" t="b">
        <v>1</v>
      </c>
      <c r="N20" s="1"/>
      <c r="O20" s="1"/>
    </row>
    <row r="21" spans="1:15" ht="15" customHeight="1" x14ac:dyDescent="0.35">
      <c r="A21" s="1">
        <v>20</v>
      </c>
      <c r="B21" s="1" t="s">
        <v>95</v>
      </c>
      <c r="C21" s="2" t="s">
        <v>71</v>
      </c>
      <c r="D21" s="3" t="s">
        <v>96</v>
      </c>
      <c r="E21" s="1" t="b">
        <v>1</v>
      </c>
      <c r="F21" s="3" t="s">
        <v>97</v>
      </c>
      <c r="G21" s="1" t="b">
        <v>1</v>
      </c>
      <c r="H21" s="3" t="s">
        <v>98</v>
      </c>
      <c r="I21" s="1" t="b">
        <v>0</v>
      </c>
      <c r="J21" s="1"/>
      <c r="K21" s="1"/>
      <c r="L21" s="3" t="s">
        <v>99</v>
      </c>
      <c r="M21" s="1" t="b">
        <v>0</v>
      </c>
      <c r="N21" s="3" t="s">
        <v>100</v>
      </c>
      <c r="O21" s="1" t="b">
        <v>1</v>
      </c>
    </row>
    <row r="22" spans="1:15" ht="15" customHeight="1" x14ac:dyDescent="0.35">
      <c r="A22" s="1">
        <v>21</v>
      </c>
      <c r="B22" s="1" t="s">
        <v>288</v>
      </c>
      <c r="C22" s="2" t="s">
        <v>9</v>
      </c>
      <c r="D22" s="3" t="s">
        <v>289</v>
      </c>
      <c r="E22" s="1" t="b">
        <v>1</v>
      </c>
      <c r="F22" s="3" t="s">
        <v>103</v>
      </c>
      <c r="G22" s="1" t="b">
        <v>1</v>
      </c>
      <c r="H22" s="3" t="s">
        <v>104</v>
      </c>
      <c r="I22" s="1" t="b">
        <v>1</v>
      </c>
      <c r="J22" s="1"/>
      <c r="K22" s="1"/>
      <c r="L22" s="3" t="s">
        <v>105</v>
      </c>
      <c r="M22" s="1" t="b">
        <v>1</v>
      </c>
      <c r="N22" s="1"/>
      <c r="O22" s="1"/>
    </row>
    <row r="23" spans="1:15" ht="15" customHeight="1" x14ac:dyDescent="0.35">
      <c r="A23" s="1">
        <v>22</v>
      </c>
      <c r="B23" s="1" t="s">
        <v>290</v>
      </c>
      <c r="C23" s="2" t="s">
        <v>9</v>
      </c>
      <c r="D23" s="3" t="s">
        <v>291</v>
      </c>
      <c r="E23" s="1" t="b">
        <v>1</v>
      </c>
      <c r="F23" s="3" t="s">
        <v>106</v>
      </c>
      <c r="G23" s="1" t="b">
        <v>1</v>
      </c>
      <c r="H23" s="1"/>
      <c r="I23" s="1"/>
      <c r="J23" s="1"/>
      <c r="K23" s="1"/>
      <c r="L23" s="3" t="s">
        <v>107</v>
      </c>
      <c r="M23" s="1" t="b">
        <v>1</v>
      </c>
      <c r="N23" s="1"/>
      <c r="O23" s="1"/>
    </row>
    <row r="24" spans="1:15" ht="15" customHeight="1" x14ac:dyDescent="0.35">
      <c r="A24" s="1">
        <v>23</v>
      </c>
      <c r="B24" s="1" t="s">
        <v>292</v>
      </c>
      <c r="C24" s="2" t="s">
        <v>9</v>
      </c>
      <c r="D24" s="3" t="s">
        <v>293</v>
      </c>
      <c r="E24" s="1" t="b">
        <v>1</v>
      </c>
      <c r="F24" s="3" t="s">
        <v>108</v>
      </c>
      <c r="G24" s="1" t="b">
        <v>1</v>
      </c>
      <c r="H24" s="1"/>
      <c r="I24" s="1"/>
      <c r="J24" s="1"/>
      <c r="K24" s="1"/>
      <c r="L24" s="3" t="s">
        <v>109</v>
      </c>
      <c r="M24" s="1" t="b">
        <v>1</v>
      </c>
      <c r="N24" s="1"/>
      <c r="O24" s="1"/>
    </row>
    <row r="25" spans="1:15" ht="15" customHeight="1" x14ac:dyDescent="0.35">
      <c r="A25" s="1">
        <v>24</v>
      </c>
      <c r="B25" s="1" t="s">
        <v>294</v>
      </c>
      <c r="C25" s="2" t="s">
        <v>9</v>
      </c>
      <c r="D25" s="3" t="s">
        <v>295</v>
      </c>
      <c r="E25" s="1" t="b">
        <v>1</v>
      </c>
      <c r="F25" s="3" t="s">
        <v>110</v>
      </c>
      <c r="G25" s="1" t="b">
        <v>1</v>
      </c>
      <c r="H25" s="3" t="s">
        <v>111</v>
      </c>
      <c r="I25" s="1" t="b">
        <v>1</v>
      </c>
      <c r="J25" s="1"/>
      <c r="K25" s="1"/>
      <c r="L25" s="3" t="s">
        <v>112</v>
      </c>
      <c r="M25" s="1" t="b">
        <v>0</v>
      </c>
      <c r="N25" s="1"/>
      <c r="O25" s="1"/>
    </row>
    <row r="26" spans="1:15" ht="15" customHeight="1" x14ac:dyDescent="0.35">
      <c r="A26" s="1">
        <v>25</v>
      </c>
      <c r="B26" s="1" t="s">
        <v>296</v>
      </c>
      <c r="C26" s="2" t="s">
        <v>9</v>
      </c>
      <c r="D26" s="3" t="s">
        <v>297</v>
      </c>
      <c r="E26" s="1" t="b">
        <v>1</v>
      </c>
      <c r="F26" s="3" t="s">
        <v>113</v>
      </c>
      <c r="G26" s="1" t="b">
        <v>1</v>
      </c>
      <c r="H26" s="1"/>
      <c r="I26" s="1"/>
      <c r="J26" s="1"/>
      <c r="K26" s="1"/>
      <c r="L26" s="3" t="s">
        <v>114</v>
      </c>
      <c r="M26" s="1" t="b">
        <v>1</v>
      </c>
      <c r="N26" s="1"/>
      <c r="O26" s="1"/>
    </row>
    <row r="27" spans="1:15" ht="15" customHeight="1" x14ac:dyDescent="0.35">
      <c r="A27" s="1">
        <v>26</v>
      </c>
      <c r="B27" s="1" t="s">
        <v>298</v>
      </c>
      <c r="C27" s="2" t="s">
        <v>9</v>
      </c>
      <c r="D27" s="3" t="s">
        <v>299</v>
      </c>
      <c r="E27" s="1" t="b">
        <v>1</v>
      </c>
      <c r="F27" s="3" t="s">
        <v>115</v>
      </c>
      <c r="G27" s="1" t="b">
        <v>1</v>
      </c>
      <c r="H27" s="3" t="s">
        <v>116</v>
      </c>
      <c r="I27" s="1" t="b">
        <v>1</v>
      </c>
      <c r="J27" s="1"/>
      <c r="K27" s="1"/>
      <c r="L27" s="3" t="s">
        <v>117</v>
      </c>
      <c r="M27" s="1" t="b">
        <v>0</v>
      </c>
      <c r="N27" s="1"/>
      <c r="O27" s="1"/>
    </row>
    <row r="28" spans="1:15" ht="15" customHeight="1" x14ac:dyDescent="0.35">
      <c r="A28" s="1">
        <v>27</v>
      </c>
      <c r="B28" s="1" t="s">
        <v>300</v>
      </c>
      <c r="C28" s="2" t="s">
        <v>9</v>
      </c>
      <c r="D28" s="3" t="s">
        <v>301</v>
      </c>
      <c r="E28" s="1" t="b">
        <v>1</v>
      </c>
      <c r="F28" s="3" t="s">
        <v>118</v>
      </c>
      <c r="G28" s="1" t="b">
        <v>1</v>
      </c>
      <c r="H28" s="1"/>
      <c r="I28" s="1"/>
      <c r="J28" s="1"/>
      <c r="K28" s="1"/>
      <c r="L28" s="3" t="s">
        <v>119</v>
      </c>
      <c r="M28" s="1" t="b">
        <v>0</v>
      </c>
      <c r="N28" s="1"/>
      <c r="O28" s="1"/>
    </row>
    <row r="29" spans="1:15" ht="15" customHeight="1" x14ac:dyDescent="0.35">
      <c r="A29" s="1">
        <v>28</v>
      </c>
      <c r="B29" s="1" t="s">
        <v>302</v>
      </c>
      <c r="C29" s="2" t="s">
        <v>9</v>
      </c>
      <c r="D29" s="3" t="s">
        <v>303</v>
      </c>
      <c r="E29" s="1" t="b">
        <v>1</v>
      </c>
      <c r="F29" s="3" t="s">
        <v>120</v>
      </c>
      <c r="G29" s="1" t="b">
        <v>1</v>
      </c>
      <c r="H29" s="1"/>
      <c r="I29" s="1"/>
      <c r="J29" s="1"/>
      <c r="K29" s="1"/>
      <c r="L29" s="3" t="s">
        <v>121</v>
      </c>
      <c r="M29" s="1" t="b">
        <v>1</v>
      </c>
      <c r="N29" s="1"/>
      <c r="O29" s="1"/>
    </row>
    <row r="30" spans="1:15" ht="15" customHeight="1" x14ac:dyDescent="0.35">
      <c r="A30" s="1">
        <v>29</v>
      </c>
      <c r="B30" s="1" t="s">
        <v>304</v>
      </c>
      <c r="C30" s="2" t="s">
        <v>9</v>
      </c>
      <c r="D30" s="3" t="s">
        <v>305</v>
      </c>
      <c r="E30" s="1" t="b">
        <v>1</v>
      </c>
      <c r="F30" s="3" t="s">
        <v>122</v>
      </c>
      <c r="G30" s="1" t="b">
        <v>1</v>
      </c>
      <c r="H30" s="1"/>
      <c r="I30" s="1"/>
      <c r="J30" s="1"/>
      <c r="K30" s="1"/>
      <c r="L30" s="3" t="s">
        <v>123</v>
      </c>
      <c r="M30" s="1" t="b">
        <v>1</v>
      </c>
      <c r="N30" s="1"/>
      <c r="O30" s="1"/>
    </row>
    <row r="31" spans="1:15" ht="15" customHeight="1" x14ac:dyDescent="0.35">
      <c r="A31" s="1">
        <v>30</v>
      </c>
      <c r="B31" s="1" t="s">
        <v>306</v>
      </c>
      <c r="C31" s="2" t="s">
        <v>9</v>
      </c>
      <c r="D31" s="3" t="s">
        <v>307</v>
      </c>
      <c r="E31" s="1" t="b">
        <v>1</v>
      </c>
      <c r="F31" s="3" t="s">
        <v>124</v>
      </c>
      <c r="G31" s="1" t="b">
        <v>1</v>
      </c>
      <c r="H31" s="1"/>
      <c r="I31" s="1"/>
      <c r="J31" s="1"/>
      <c r="K31" s="1"/>
      <c r="L31" s="3" t="s">
        <v>125</v>
      </c>
      <c r="M31" s="1" t="b">
        <v>1</v>
      </c>
      <c r="N31" s="1"/>
      <c r="O31" s="1"/>
    </row>
    <row r="32" spans="1:15" ht="15" customHeight="1" x14ac:dyDescent="0.35">
      <c r="A32" s="1">
        <v>31</v>
      </c>
      <c r="B32" s="1" t="s">
        <v>308</v>
      </c>
      <c r="C32" s="2" t="s">
        <v>9</v>
      </c>
      <c r="D32" s="3" t="s">
        <v>309</v>
      </c>
      <c r="E32" s="1" t="b">
        <v>1</v>
      </c>
      <c r="F32" s="3" t="s">
        <v>126</v>
      </c>
      <c r="G32" s="1" t="b">
        <v>1</v>
      </c>
      <c r="H32" s="1"/>
      <c r="I32" s="1"/>
      <c r="J32" s="1"/>
      <c r="K32" s="1"/>
      <c r="L32" s="3" t="s">
        <v>127</v>
      </c>
      <c r="M32" s="1" t="b">
        <v>1</v>
      </c>
      <c r="N32" s="1"/>
      <c r="O32" s="1"/>
    </row>
    <row r="33" spans="1:15" ht="15" customHeight="1" x14ac:dyDescent="0.35">
      <c r="A33" s="1">
        <v>32</v>
      </c>
      <c r="B33" s="1" t="s">
        <v>310</v>
      </c>
      <c r="C33" s="2" t="s">
        <v>9</v>
      </c>
      <c r="D33" s="3" t="s">
        <v>311</v>
      </c>
      <c r="E33" s="1" t="b">
        <v>1</v>
      </c>
      <c r="F33" s="3" t="s">
        <v>128</v>
      </c>
      <c r="G33" s="1" t="b">
        <v>1</v>
      </c>
      <c r="H33" s="1"/>
      <c r="I33" s="1"/>
      <c r="J33" s="1"/>
      <c r="K33" s="1"/>
      <c r="L33" s="3" t="s">
        <v>129</v>
      </c>
      <c r="M33" s="1" t="b">
        <v>0</v>
      </c>
      <c r="N33" s="1"/>
      <c r="O33" s="1"/>
    </row>
    <row r="34" spans="1:15" ht="15" customHeight="1" x14ac:dyDescent="0.35">
      <c r="A34" s="1">
        <v>33</v>
      </c>
      <c r="B34" s="1" t="s">
        <v>312</v>
      </c>
      <c r="C34" s="2" t="s">
        <v>9</v>
      </c>
      <c r="D34" s="3" t="s">
        <v>313</v>
      </c>
      <c r="E34" s="1" t="b">
        <v>1</v>
      </c>
      <c r="F34" s="3" t="s">
        <v>130</v>
      </c>
      <c r="G34" s="1" t="b">
        <v>1</v>
      </c>
      <c r="H34" s="1"/>
      <c r="I34" s="1"/>
      <c r="J34" s="1"/>
      <c r="K34" s="1"/>
      <c r="L34" s="3" t="s">
        <v>131</v>
      </c>
      <c r="M34" s="1" t="b">
        <v>1</v>
      </c>
      <c r="N34" s="1"/>
      <c r="O34" s="1"/>
    </row>
    <row r="35" spans="1:15" ht="15" customHeight="1" x14ac:dyDescent="0.35">
      <c r="A35" s="1">
        <v>34</v>
      </c>
      <c r="B35" s="1" t="s">
        <v>314</v>
      </c>
      <c r="C35" s="2" t="s">
        <v>9</v>
      </c>
      <c r="D35" s="3" t="s">
        <v>315</v>
      </c>
      <c r="E35" s="1" t="b">
        <v>1</v>
      </c>
      <c r="F35" s="3" t="s">
        <v>132</v>
      </c>
      <c r="G35" s="1" t="b">
        <v>1</v>
      </c>
      <c r="H35" s="3" t="s">
        <v>133</v>
      </c>
      <c r="I35" s="1" t="b">
        <v>1</v>
      </c>
      <c r="J35" s="1"/>
      <c r="K35" s="1"/>
      <c r="L35" s="3" t="s">
        <v>134</v>
      </c>
      <c r="M35" s="1" t="b">
        <v>1</v>
      </c>
      <c r="N35" s="1"/>
      <c r="O35" s="1"/>
    </row>
    <row r="36" spans="1:15" ht="15" customHeight="1" x14ac:dyDescent="0.35">
      <c r="A36" s="1">
        <v>35</v>
      </c>
      <c r="B36" s="1" t="s">
        <v>316</v>
      </c>
      <c r="C36" s="2" t="s">
        <v>9</v>
      </c>
      <c r="D36" s="3" t="s">
        <v>317</v>
      </c>
      <c r="E36" s="1" t="b">
        <v>1</v>
      </c>
      <c r="F36" s="3" t="s">
        <v>135</v>
      </c>
      <c r="G36" s="1" t="b">
        <v>1</v>
      </c>
      <c r="H36" s="1"/>
      <c r="I36" s="1"/>
      <c r="J36" s="1"/>
      <c r="K36" s="1"/>
      <c r="L36" s="3" t="s">
        <v>136</v>
      </c>
      <c r="M36" s="1" t="b">
        <v>1</v>
      </c>
      <c r="N36" s="1"/>
      <c r="O36" s="1"/>
    </row>
    <row r="37" spans="1:15" ht="15" customHeight="1" x14ac:dyDescent="0.35">
      <c r="A37" s="1">
        <v>36</v>
      </c>
      <c r="B37" s="1" t="s">
        <v>318</v>
      </c>
      <c r="C37" s="2" t="s">
        <v>9</v>
      </c>
      <c r="D37" s="3" t="s">
        <v>319</v>
      </c>
      <c r="E37" s="1" t="b">
        <v>1</v>
      </c>
      <c r="F37" s="3" t="s">
        <v>137</v>
      </c>
      <c r="G37" s="1" t="b">
        <v>1</v>
      </c>
      <c r="H37" s="3" t="s">
        <v>138</v>
      </c>
      <c r="I37" s="1" t="b">
        <v>1</v>
      </c>
      <c r="J37" s="1"/>
      <c r="K37" s="1"/>
      <c r="L37" s="3" t="s">
        <v>139</v>
      </c>
      <c r="M37" s="1" t="b">
        <v>1</v>
      </c>
      <c r="N37" s="1"/>
      <c r="O37" s="1"/>
    </row>
    <row r="38" spans="1:15" ht="15" customHeight="1" x14ac:dyDescent="0.35">
      <c r="A38" s="1">
        <v>37</v>
      </c>
      <c r="B38" s="1" t="s">
        <v>320</v>
      </c>
      <c r="C38" s="2" t="s">
        <v>9</v>
      </c>
      <c r="D38" s="3" t="s">
        <v>140</v>
      </c>
      <c r="E38" s="1" t="b">
        <v>1</v>
      </c>
      <c r="F38" s="3" t="s">
        <v>140</v>
      </c>
      <c r="G38" s="1" t="b">
        <v>1</v>
      </c>
      <c r="H38" s="1"/>
      <c r="I38" s="1"/>
      <c r="J38" s="1"/>
      <c r="K38" s="1"/>
      <c r="L38" s="3" t="s">
        <v>141</v>
      </c>
      <c r="M38" s="1" t="b">
        <v>1</v>
      </c>
      <c r="N38" s="1"/>
      <c r="O38" s="1"/>
    </row>
    <row r="39" spans="1:15" ht="15" customHeight="1" x14ac:dyDescent="0.35">
      <c r="A39" s="1">
        <v>38</v>
      </c>
      <c r="B39" s="1" t="s">
        <v>321</v>
      </c>
      <c r="C39" s="2" t="s">
        <v>9</v>
      </c>
      <c r="D39" s="3" t="s">
        <v>322</v>
      </c>
      <c r="E39" s="1" t="b">
        <v>1</v>
      </c>
      <c r="F39" s="3" t="s">
        <v>142</v>
      </c>
      <c r="G39" s="1" t="b">
        <v>1</v>
      </c>
      <c r="H39" s="1"/>
      <c r="I39" s="1"/>
      <c r="J39" s="1"/>
      <c r="K39" s="1"/>
      <c r="L39" s="3" t="s">
        <v>143</v>
      </c>
      <c r="M39" s="1" t="b">
        <v>1</v>
      </c>
      <c r="N39" s="1"/>
      <c r="O39" s="1"/>
    </row>
    <row r="40" spans="1:15" ht="15" customHeight="1" x14ac:dyDescent="0.35">
      <c r="A40" s="1">
        <v>39</v>
      </c>
      <c r="B40" s="1" t="s">
        <v>323</v>
      </c>
      <c r="C40" s="2" t="s">
        <v>9</v>
      </c>
      <c r="D40" s="3" t="s">
        <v>324</v>
      </c>
      <c r="E40" s="1" t="b">
        <v>1</v>
      </c>
      <c r="F40" s="3" t="s">
        <v>144</v>
      </c>
      <c r="G40" s="1" t="b">
        <v>1</v>
      </c>
      <c r="H40" s="3" t="s">
        <v>145</v>
      </c>
      <c r="I40" s="1" t="b">
        <v>0</v>
      </c>
      <c r="J40" s="1"/>
      <c r="K40" s="1"/>
      <c r="L40" s="3" t="s">
        <v>146</v>
      </c>
      <c r="M40" s="1" t="b">
        <v>1</v>
      </c>
      <c r="N40" s="1"/>
      <c r="O40" s="1"/>
    </row>
    <row r="41" spans="1:15" ht="15" customHeight="1" x14ac:dyDescent="0.35">
      <c r="A41" s="1">
        <v>40</v>
      </c>
      <c r="B41" s="1" t="s">
        <v>325</v>
      </c>
      <c r="C41" s="2" t="s">
        <v>62</v>
      </c>
      <c r="D41" s="3" t="s">
        <v>326</v>
      </c>
      <c r="E41" s="1" t="b">
        <v>1</v>
      </c>
      <c r="F41" s="3" t="s">
        <v>147</v>
      </c>
      <c r="G41" s="1" t="b">
        <v>1</v>
      </c>
      <c r="H41" s="1"/>
      <c r="I41" s="1"/>
      <c r="J41" s="1"/>
      <c r="K41" s="1"/>
      <c r="L41" s="3" t="s">
        <v>148</v>
      </c>
      <c r="M41" s="1" t="b">
        <v>1</v>
      </c>
      <c r="N41" s="1"/>
      <c r="O41" s="1"/>
    </row>
    <row r="42" spans="1:15" ht="15" customHeight="1" x14ac:dyDescent="0.35">
      <c r="A42" s="1">
        <v>41</v>
      </c>
      <c r="B42" s="1" t="s">
        <v>327</v>
      </c>
      <c r="C42" s="2" t="s">
        <v>62</v>
      </c>
      <c r="D42" s="3" t="s">
        <v>328</v>
      </c>
      <c r="E42" s="1" t="b">
        <v>1</v>
      </c>
      <c r="F42" s="3" t="s">
        <v>149</v>
      </c>
      <c r="G42" s="1" t="b">
        <v>0</v>
      </c>
      <c r="H42" s="1"/>
      <c r="I42" s="1"/>
      <c r="J42" s="1"/>
      <c r="K42" s="1"/>
      <c r="L42" s="3" t="s">
        <v>150</v>
      </c>
      <c r="M42" s="1" t="b">
        <v>0</v>
      </c>
      <c r="N42" s="1"/>
      <c r="O42" s="1"/>
    </row>
    <row r="43" spans="1:15" ht="15" customHeight="1" x14ac:dyDescent="0.35">
      <c r="A43" s="1">
        <v>42</v>
      </c>
      <c r="B43" s="1" t="s">
        <v>329</v>
      </c>
      <c r="C43" s="2" t="s">
        <v>62</v>
      </c>
      <c r="D43" s="3" t="s">
        <v>330</v>
      </c>
      <c r="E43" s="1" t="b">
        <v>1</v>
      </c>
      <c r="F43" s="3" t="s">
        <v>151</v>
      </c>
      <c r="G43" s="1" t="b">
        <v>1</v>
      </c>
      <c r="H43" s="1"/>
      <c r="I43" s="1"/>
      <c r="J43" s="1"/>
      <c r="K43" s="1"/>
      <c r="L43" s="3" t="s">
        <v>152</v>
      </c>
      <c r="M43" s="1" t="b">
        <v>1</v>
      </c>
      <c r="N43" s="1"/>
      <c r="O43" s="1"/>
    </row>
    <row r="44" spans="1:15" ht="15" customHeight="1" x14ac:dyDescent="0.35">
      <c r="A44" s="1">
        <v>43</v>
      </c>
      <c r="B44" s="1" t="s">
        <v>331</v>
      </c>
      <c r="C44" s="2" t="s">
        <v>62</v>
      </c>
      <c r="D44" s="3" t="s">
        <v>332</v>
      </c>
      <c r="E44" s="1" t="b">
        <v>1</v>
      </c>
      <c r="F44" s="3" t="s">
        <v>153</v>
      </c>
      <c r="G44" s="1" t="b">
        <v>1</v>
      </c>
      <c r="H44" s="3" t="s">
        <v>154</v>
      </c>
      <c r="I44" s="1" t="b">
        <v>0</v>
      </c>
      <c r="J44" s="1"/>
      <c r="K44" s="1"/>
      <c r="L44" s="3" t="s">
        <v>155</v>
      </c>
      <c r="M44" s="1" t="b">
        <v>1</v>
      </c>
      <c r="N44" s="1"/>
      <c r="O44" s="1"/>
    </row>
    <row r="45" spans="1:15" ht="15" customHeight="1" x14ac:dyDescent="0.35">
      <c r="A45" s="1">
        <v>44</v>
      </c>
      <c r="B45" s="1" t="s">
        <v>333</v>
      </c>
      <c r="C45" s="2" t="s">
        <v>62</v>
      </c>
      <c r="D45" s="3" t="s">
        <v>334</v>
      </c>
      <c r="E45" s="1" t="b">
        <v>1</v>
      </c>
      <c r="F45" s="3" t="s">
        <v>156</v>
      </c>
      <c r="G45" s="1" t="b">
        <v>1</v>
      </c>
      <c r="H45" s="1"/>
      <c r="I45" s="1"/>
      <c r="J45" s="1"/>
      <c r="K45" s="1"/>
      <c r="L45" s="3" t="s">
        <v>157</v>
      </c>
      <c r="M45" s="1" t="b">
        <v>1</v>
      </c>
      <c r="N45" s="1"/>
      <c r="O45" s="1"/>
    </row>
    <row r="46" spans="1:15" ht="15" customHeight="1" x14ac:dyDescent="0.35">
      <c r="A46" s="1">
        <v>45</v>
      </c>
      <c r="B46" s="1" t="s">
        <v>335</v>
      </c>
      <c r="C46" s="2" t="s">
        <v>62</v>
      </c>
      <c r="D46" s="3" t="s">
        <v>336</v>
      </c>
      <c r="E46" s="1" t="b">
        <v>1</v>
      </c>
      <c r="F46" s="3" t="s">
        <v>158</v>
      </c>
      <c r="G46" s="1" t="b">
        <v>0</v>
      </c>
      <c r="H46" s="1"/>
      <c r="I46" s="1"/>
      <c r="J46" s="1"/>
      <c r="K46" s="1"/>
      <c r="L46" s="3" t="s">
        <v>159</v>
      </c>
      <c r="M46" s="1" t="b">
        <v>0</v>
      </c>
      <c r="N46" s="1"/>
      <c r="O46" s="1"/>
    </row>
    <row r="47" spans="1:15" ht="15" customHeight="1" x14ac:dyDescent="0.35">
      <c r="A47" s="1">
        <v>46</v>
      </c>
      <c r="B47" s="1" t="s">
        <v>337</v>
      </c>
      <c r="C47" s="2" t="s">
        <v>62</v>
      </c>
      <c r="D47" s="3" t="s">
        <v>338</v>
      </c>
      <c r="E47" s="1" t="b">
        <v>1</v>
      </c>
      <c r="F47" s="3" t="s">
        <v>160</v>
      </c>
      <c r="G47" s="1" t="b">
        <v>1</v>
      </c>
      <c r="H47" s="1"/>
      <c r="I47" s="1"/>
      <c r="J47" s="1"/>
      <c r="K47" s="1"/>
      <c r="L47" s="3" t="s">
        <v>161</v>
      </c>
      <c r="M47" s="1" t="b">
        <v>1</v>
      </c>
      <c r="N47" s="1"/>
      <c r="O47" s="1"/>
    </row>
    <row r="48" spans="1:15" ht="15" customHeight="1" x14ac:dyDescent="0.35">
      <c r="A48" s="1">
        <v>47</v>
      </c>
      <c r="B48" s="1" t="s">
        <v>339</v>
      </c>
      <c r="C48" s="2" t="s">
        <v>62</v>
      </c>
      <c r="D48" s="3" t="s">
        <v>340</v>
      </c>
      <c r="E48" s="1" t="b">
        <v>1</v>
      </c>
      <c r="F48" s="3" t="s">
        <v>162</v>
      </c>
      <c r="G48" s="1" t="b">
        <v>1</v>
      </c>
      <c r="H48" s="1"/>
      <c r="I48" s="1"/>
      <c r="J48" s="1"/>
      <c r="K48" s="1"/>
      <c r="L48" s="3" t="s">
        <v>163</v>
      </c>
      <c r="M48" s="1" t="b">
        <v>0</v>
      </c>
      <c r="N48" s="1"/>
      <c r="O48" s="1"/>
    </row>
    <row r="49" spans="1:15" ht="15" customHeight="1" x14ac:dyDescent="0.35">
      <c r="A49" s="1">
        <v>48</v>
      </c>
      <c r="B49" s="1" t="s">
        <v>341</v>
      </c>
      <c r="C49" s="2" t="s">
        <v>62</v>
      </c>
      <c r="D49" s="3" t="s">
        <v>342</v>
      </c>
      <c r="E49" s="1" t="b">
        <v>1</v>
      </c>
      <c r="F49" s="3" t="s">
        <v>164</v>
      </c>
      <c r="G49" s="1" t="b">
        <v>1</v>
      </c>
      <c r="H49" s="1"/>
      <c r="I49" s="1"/>
      <c r="J49" s="1"/>
      <c r="K49" s="1"/>
      <c r="L49" s="3" t="s">
        <v>165</v>
      </c>
      <c r="M49" s="1" t="b">
        <v>1</v>
      </c>
      <c r="N49" s="1"/>
      <c r="O49" s="1"/>
    </row>
    <row r="50" spans="1:15" ht="15" customHeight="1" x14ac:dyDescent="0.35">
      <c r="A50" s="1">
        <v>49</v>
      </c>
      <c r="B50" s="1" t="s">
        <v>343</v>
      </c>
      <c r="C50" s="2" t="s">
        <v>62</v>
      </c>
      <c r="D50" s="3" t="s">
        <v>344</v>
      </c>
      <c r="E50" s="1" t="b">
        <v>1</v>
      </c>
      <c r="F50" s="3" t="s">
        <v>166</v>
      </c>
      <c r="G50" s="1" t="b">
        <v>1</v>
      </c>
      <c r="H50" s="1"/>
      <c r="I50" s="1"/>
      <c r="J50" s="1"/>
      <c r="K50" s="1"/>
      <c r="L50" s="3" t="s">
        <v>167</v>
      </c>
      <c r="M50" s="1" t="b">
        <v>1</v>
      </c>
      <c r="N50" s="1"/>
      <c r="O50" s="1"/>
    </row>
    <row r="51" spans="1:15" ht="15" customHeight="1" x14ac:dyDescent="0.35">
      <c r="A51" s="1">
        <v>50</v>
      </c>
      <c r="B51" s="1" t="s">
        <v>345</v>
      </c>
      <c r="C51" s="2" t="s">
        <v>82</v>
      </c>
      <c r="D51" s="3" t="s">
        <v>346</v>
      </c>
      <c r="E51" s="1" t="b">
        <v>1</v>
      </c>
      <c r="F51" s="3" t="s">
        <v>168</v>
      </c>
      <c r="G51" s="1" t="b">
        <v>1</v>
      </c>
      <c r="H51" s="1"/>
      <c r="I51" s="1"/>
      <c r="J51" s="1"/>
      <c r="K51" s="1"/>
      <c r="L51" s="3" t="s">
        <v>169</v>
      </c>
      <c r="M51" s="1" t="b">
        <v>1</v>
      </c>
      <c r="N51" s="1"/>
      <c r="O51" s="1"/>
    </row>
    <row r="52" spans="1:15" ht="15" customHeight="1" x14ac:dyDescent="0.35">
      <c r="A52" s="1">
        <v>51</v>
      </c>
      <c r="B52" s="1" t="s">
        <v>347</v>
      </c>
      <c r="C52" s="2" t="s">
        <v>82</v>
      </c>
      <c r="D52" s="3" t="s">
        <v>348</v>
      </c>
      <c r="E52" s="1" t="b">
        <v>1</v>
      </c>
      <c r="F52" s="3" t="s">
        <v>170</v>
      </c>
      <c r="G52" s="1" t="b">
        <v>0</v>
      </c>
      <c r="H52" s="1"/>
      <c r="I52" s="1"/>
      <c r="J52" s="1"/>
      <c r="K52" s="1"/>
      <c r="L52" s="3" t="s">
        <v>171</v>
      </c>
      <c r="M52" s="1" t="b">
        <v>1</v>
      </c>
      <c r="N52" s="1"/>
      <c r="O52" s="1"/>
    </row>
    <row r="53" spans="1:15" ht="15" customHeight="1" x14ac:dyDescent="0.35">
      <c r="A53" s="1">
        <v>52</v>
      </c>
      <c r="B53" s="1" t="s">
        <v>349</v>
      </c>
      <c r="C53" s="2" t="s">
        <v>82</v>
      </c>
      <c r="D53" s="3" t="s">
        <v>350</v>
      </c>
      <c r="E53" s="1" t="b">
        <v>1</v>
      </c>
      <c r="F53" s="3" t="s">
        <v>172</v>
      </c>
      <c r="G53" s="1" t="b">
        <v>0</v>
      </c>
      <c r="H53" s="3" t="s">
        <v>173</v>
      </c>
      <c r="I53" s="1" t="b">
        <v>0</v>
      </c>
      <c r="J53" s="1"/>
      <c r="K53" s="1"/>
      <c r="L53" s="3" t="s">
        <v>174</v>
      </c>
      <c r="M53" s="1" t="b">
        <v>1</v>
      </c>
      <c r="N53" s="1"/>
      <c r="O53" s="1"/>
    </row>
    <row r="54" spans="1:15" ht="15" customHeight="1" x14ac:dyDescent="0.35">
      <c r="A54" s="1">
        <v>53</v>
      </c>
      <c r="B54" s="1" t="s">
        <v>351</v>
      </c>
      <c r="C54" s="2" t="s">
        <v>82</v>
      </c>
      <c r="D54" s="3" t="s">
        <v>352</v>
      </c>
      <c r="E54" s="1" t="b">
        <v>1</v>
      </c>
      <c r="F54" s="3" t="s">
        <v>175</v>
      </c>
      <c r="G54" s="1" t="b">
        <v>0</v>
      </c>
      <c r="H54" s="3" t="s">
        <v>176</v>
      </c>
      <c r="I54" s="1" t="b">
        <v>0</v>
      </c>
      <c r="J54" s="1"/>
      <c r="K54" s="1"/>
      <c r="L54" s="3" t="s">
        <v>177</v>
      </c>
      <c r="M54" s="1" t="b">
        <v>0</v>
      </c>
      <c r="N54" s="1"/>
      <c r="O54" s="1"/>
    </row>
    <row r="55" spans="1:15" ht="15" customHeight="1" x14ac:dyDescent="0.35">
      <c r="A55" s="1">
        <v>54</v>
      </c>
      <c r="B55" s="1" t="s">
        <v>353</v>
      </c>
      <c r="C55" s="2" t="s">
        <v>82</v>
      </c>
      <c r="D55" s="3" t="s">
        <v>178</v>
      </c>
      <c r="E55" s="1" t="b">
        <v>1</v>
      </c>
      <c r="F55" s="3" t="s">
        <v>178</v>
      </c>
      <c r="G55" s="1" t="b">
        <v>1</v>
      </c>
      <c r="H55" s="3" t="s">
        <v>179</v>
      </c>
      <c r="I55" s="1" t="b">
        <v>1</v>
      </c>
      <c r="J55" s="1"/>
      <c r="K55" s="1"/>
      <c r="L55" s="3" t="s">
        <v>180</v>
      </c>
      <c r="M55" s="1" t="b">
        <v>1</v>
      </c>
      <c r="N55" s="1"/>
      <c r="O55" s="1"/>
    </row>
    <row r="56" spans="1:15" ht="15" customHeight="1" x14ac:dyDescent="0.35">
      <c r="A56" s="1">
        <v>55</v>
      </c>
      <c r="B56" s="1" t="s">
        <v>354</v>
      </c>
      <c r="C56" s="2" t="s">
        <v>82</v>
      </c>
      <c r="D56" s="3" t="s">
        <v>355</v>
      </c>
      <c r="E56" s="1" t="b">
        <v>1</v>
      </c>
      <c r="F56" s="3" t="s">
        <v>181</v>
      </c>
      <c r="G56" s="1" t="b">
        <v>1</v>
      </c>
      <c r="H56" s="1"/>
      <c r="I56" s="1"/>
      <c r="J56" s="1"/>
      <c r="K56" s="1"/>
      <c r="L56" s="3" t="s">
        <v>182</v>
      </c>
      <c r="M56" s="1" t="b">
        <v>1</v>
      </c>
      <c r="N56" s="1"/>
      <c r="O56" s="1"/>
    </row>
    <row r="57" spans="1:15" ht="15" customHeight="1" x14ac:dyDescent="0.35">
      <c r="A57" s="1">
        <v>56</v>
      </c>
      <c r="B57" s="1" t="s">
        <v>356</v>
      </c>
      <c r="C57" s="2" t="s">
        <v>41</v>
      </c>
      <c r="D57" s="3" t="s">
        <v>183</v>
      </c>
      <c r="E57" s="1" t="b">
        <v>1</v>
      </c>
      <c r="F57" s="3" t="s">
        <v>183</v>
      </c>
      <c r="G57" s="1" t="b">
        <v>1</v>
      </c>
      <c r="H57" s="1"/>
      <c r="I57" s="1"/>
      <c r="J57" s="1"/>
      <c r="K57" s="1"/>
      <c r="L57" s="3" t="s">
        <v>183</v>
      </c>
      <c r="M57" s="1" t="b">
        <v>1</v>
      </c>
      <c r="N57" s="1"/>
      <c r="O57" s="1"/>
    </row>
    <row r="58" spans="1:15" ht="15" customHeight="1" x14ac:dyDescent="0.35">
      <c r="A58" s="1">
        <v>57</v>
      </c>
      <c r="B58" s="1" t="s">
        <v>357</v>
      </c>
      <c r="C58" s="2" t="s">
        <v>41</v>
      </c>
      <c r="D58" s="3" t="s">
        <v>358</v>
      </c>
      <c r="E58" s="1" t="b">
        <v>1</v>
      </c>
      <c r="F58" s="3" t="s">
        <v>184</v>
      </c>
      <c r="G58" s="1" t="b">
        <v>1</v>
      </c>
      <c r="H58" s="1"/>
      <c r="I58" s="1"/>
      <c r="J58" s="1"/>
      <c r="K58" s="1"/>
      <c r="L58" s="3" t="s">
        <v>185</v>
      </c>
      <c r="M58" s="1" t="b">
        <v>1</v>
      </c>
      <c r="N58" s="1"/>
      <c r="O58" s="1"/>
    </row>
    <row r="59" spans="1:15" ht="15" customHeight="1" x14ac:dyDescent="0.35">
      <c r="A59" s="1">
        <v>58</v>
      </c>
      <c r="B59" s="1" t="s">
        <v>359</v>
      </c>
      <c r="C59" s="2" t="s">
        <v>41</v>
      </c>
      <c r="D59" s="3" t="s">
        <v>360</v>
      </c>
      <c r="E59" s="1" t="b">
        <v>1</v>
      </c>
      <c r="F59" s="3" t="s">
        <v>186</v>
      </c>
      <c r="G59" s="1" t="b">
        <v>1</v>
      </c>
      <c r="H59" s="1"/>
      <c r="I59" s="1"/>
      <c r="J59" s="1"/>
      <c r="K59" s="1"/>
      <c r="L59" s="3" t="s">
        <v>186</v>
      </c>
      <c r="M59" s="1" t="b">
        <v>1</v>
      </c>
      <c r="N59" s="1"/>
      <c r="O59" s="1"/>
    </row>
    <row r="60" spans="1:15" ht="15" customHeight="1" x14ac:dyDescent="0.35">
      <c r="A60" s="1">
        <v>59</v>
      </c>
      <c r="B60" s="1" t="s">
        <v>361</v>
      </c>
      <c r="C60" s="2" t="s">
        <v>41</v>
      </c>
      <c r="D60" s="3" t="s">
        <v>362</v>
      </c>
      <c r="E60" s="1" t="b">
        <v>1</v>
      </c>
      <c r="F60" s="3" t="s">
        <v>187</v>
      </c>
      <c r="G60" s="1" t="b">
        <v>1</v>
      </c>
      <c r="H60" s="1"/>
      <c r="I60" s="1"/>
      <c r="J60" s="3" t="s">
        <v>188</v>
      </c>
      <c r="K60" s="1" t="b">
        <v>1</v>
      </c>
      <c r="L60" s="3" t="s">
        <v>189</v>
      </c>
      <c r="M60" s="1" t="b">
        <v>1</v>
      </c>
      <c r="N60" s="1"/>
      <c r="O60" s="1"/>
    </row>
    <row r="61" spans="1:15" ht="15" customHeight="1" x14ac:dyDescent="0.35">
      <c r="A61" s="1">
        <v>60</v>
      </c>
      <c r="B61" s="1" t="s">
        <v>363</v>
      </c>
      <c r="C61" s="2" t="s">
        <v>41</v>
      </c>
      <c r="D61" s="3" t="s">
        <v>190</v>
      </c>
      <c r="E61" s="1" t="b">
        <v>1</v>
      </c>
      <c r="F61" s="3" t="s">
        <v>190</v>
      </c>
      <c r="G61" s="1" t="b">
        <v>1</v>
      </c>
      <c r="H61" s="1"/>
      <c r="I61" s="1"/>
      <c r="J61" s="1"/>
      <c r="K61" s="1"/>
      <c r="L61" s="3" t="s">
        <v>191</v>
      </c>
      <c r="M61" s="1" t="b">
        <v>1</v>
      </c>
      <c r="N61" s="1"/>
      <c r="O61" s="1"/>
    </row>
    <row r="62" spans="1:15" ht="15" customHeight="1" x14ac:dyDescent="0.35">
      <c r="A62" s="1">
        <v>61</v>
      </c>
      <c r="B62" s="1" t="s">
        <v>364</v>
      </c>
      <c r="C62" s="2" t="s">
        <v>41</v>
      </c>
      <c r="D62" s="3" t="s">
        <v>193</v>
      </c>
      <c r="E62" s="1" t="b">
        <v>1</v>
      </c>
      <c r="F62" s="3" t="s">
        <v>192</v>
      </c>
      <c r="G62" s="1" t="b">
        <v>1</v>
      </c>
      <c r="H62" s="1"/>
      <c r="I62" s="1"/>
      <c r="J62" s="3" t="s">
        <v>193</v>
      </c>
      <c r="K62" s="1" t="b">
        <v>1</v>
      </c>
      <c r="L62" s="3" t="s">
        <v>194</v>
      </c>
      <c r="M62" s="1" t="b">
        <v>0</v>
      </c>
      <c r="N62" s="1"/>
      <c r="O62" s="1"/>
    </row>
    <row r="63" spans="1:15" ht="15" customHeight="1" x14ac:dyDescent="0.35">
      <c r="A63" s="1">
        <v>62</v>
      </c>
      <c r="B63" s="1" t="s">
        <v>365</v>
      </c>
      <c r="C63" s="2" t="s">
        <v>41</v>
      </c>
      <c r="D63" s="3" t="s">
        <v>366</v>
      </c>
      <c r="E63" s="1" t="b">
        <v>1</v>
      </c>
      <c r="F63" s="3" t="s">
        <v>195</v>
      </c>
      <c r="G63" s="1" t="b">
        <v>0</v>
      </c>
      <c r="H63" s="1"/>
      <c r="I63" s="1"/>
      <c r="J63" s="1"/>
      <c r="K63" s="1"/>
      <c r="L63" s="1" t="s">
        <v>196</v>
      </c>
      <c r="M63" s="1" t="b">
        <v>0</v>
      </c>
      <c r="N63" s="1"/>
      <c r="O63" s="1"/>
    </row>
    <row r="64" spans="1:15" ht="15" customHeight="1" x14ac:dyDescent="0.35">
      <c r="A64" s="1">
        <v>63</v>
      </c>
      <c r="B64" s="1" t="s">
        <v>367</v>
      </c>
      <c r="C64" s="2" t="s">
        <v>41</v>
      </c>
      <c r="D64" s="3" t="s">
        <v>197</v>
      </c>
      <c r="E64" s="1" t="b">
        <v>1</v>
      </c>
      <c r="F64" s="3" t="s">
        <v>197</v>
      </c>
      <c r="G64" s="1" t="b">
        <v>1</v>
      </c>
      <c r="H64" s="1"/>
      <c r="I64" s="1"/>
      <c r="J64" s="1"/>
      <c r="K64" s="1"/>
      <c r="L64" s="3" t="s">
        <v>198</v>
      </c>
      <c r="M64" s="1" t="b">
        <v>1</v>
      </c>
      <c r="N64" s="1"/>
      <c r="O64" s="1"/>
    </row>
    <row r="65" spans="1:15" ht="15" customHeight="1" x14ac:dyDescent="0.35">
      <c r="A65" s="1">
        <v>64</v>
      </c>
      <c r="B65" s="1" t="s">
        <v>368</v>
      </c>
      <c r="C65" s="2" t="s">
        <v>41</v>
      </c>
      <c r="D65" s="3" t="s">
        <v>200</v>
      </c>
      <c r="E65" s="1" t="b">
        <v>1</v>
      </c>
      <c r="F65" s="3" t="s">
        <v>199</v>
      </c>
      <c r="G65" s="1" t="b">
        <v>1</v>
      </c>
      <c r="H65" s="1"/>
      <c r="I65" s="1"/>
      <c r="J65" s="3" t="s">
        <v>199</v>
      </c>
      <c r="K65" s="1" t="b">
        <v>1</v>
      </c>
      <c r="L65" s="3" t="s">
        <v>200</v>
      </c>
      <c r="M65" s="1" t="b">
        <v>1</v>
      </c>
      <c r="N65" s="1"/>
      <c r="O65" s="1"/>
    </row>
    <row r="66" spans="1:15" ht="15" customHeight="1" x14ac:dyDescent="0.35">
      <c r="A66" s="1">
        <v>65</v>
      </c>
      <c r="B66" s="1" t="s">
        <v>369</v>
      </c>
      <c r="C66" s="2" t="s">
        <v>41</v>
      </c>
      <c r="D66" s="3" t="s">
        <v>370</v>
      </c>
      <c r="E66" s="1" t="b">
        <v>1</v>
      </c>
      <c r="F66" s="3" t="s">
        <v>201</v>
      </c>
      <c r="G66" s="1" t="b">
        <v>1</v>
      </c>
      <c r="H66" s="1"/>
      <c r="I66" s="1"/>
      <c r="J66" s="1"/>
      <c r="K66" s="1"/>
      <c r="L66" s="3" t="s">
        <v>202</v>
      </c>
      <c r="M66" s="1" t="b">
        <v>1</v>
      </c>
      <c r="N66" s="1"/>
      <c r="O66" s="1"/>
    </row>
    <row r="67" spans="1:15" ht="15" customHeight="1" x14ac:dyDescent="0.35">
      <c r="A67" s="1">
        <v>66</v>
      </c>
      <c r="B67" s="1" t="s">
        <v>371</v>
      </c>
      <c r="C67" s="2" t="s">
        <v>71</v>
      </c>
      <c r="D67" s="3" t="s">
        <v>372</v>
      </c>
      <c r="E67" s="1" t="b">
        <v>0</v>
      </c>
      <c r="F67" s="3" t="s">
        <v>203</v>
      </c>
      <c r="G67" s="1" t="b">
        <v>0</v>
      </c>
      <c r="H67" s="1"/>
      <c r="I67" s="1"/>
      <c r="J67" s="3" t="s">
        <v>204</v>
      </c>
      <c r="K67" s="1" t="b">
        <v>0</v>
      </c>
      <c r="L67" s="3" t="s">
        <v>205</v>
      </c>
      <c r="M67" s="1" t="b">
        <v>0</v>
      </c>
      <c r="N67" s="3" t="s">
        <v>206</v>
      </c>
      <c r="O67" s="1" t="b">
        <v>0</v>
      </c>
    </row>
    <row r="68" spans="1:15" ht="15" customHeight="1" x14ac:dyDescent="0.35">
      <c r="A68" s="1">
        <v>67</v>
      </c>
      <c r="B68" s="1" t="s">
        <v>373</v>
      </c>
      <c r="C68" s="2" t="s">
        <v>71</v>
      </c>
      <c r="D68" s="3" t="s">
        <v>374</v>
      </c>
      <c r="E68" s="1" t="b">
        <v>1</v>
      </c>
      <c r="F68" s="3" t="s">
        <v>207</v>
      </c>
      <c r="G68" s="1" t="b">
        <v>0</v>
      </c>
      <c r="H68" s="1"/>
      <c r="I68" s="1"/>
      <c r="J68" s="3" t="s">
        <v>208</v>
      </c>
      <c r="K68" s="1" t="b">
        <v>1</v>
      </c>
      <c r="L68" s="3" t="s">
        <v>209</v>
      </c>
      <c r="M68" s="1" t="b">
        <v>1</v>
      </c>
      <c r="N68" s="3" t="s">
        <v>210</v>
      </c>
      <c r="O68" s="1" t="b">
        <v>1</v>
      </c>
    </row>
    <row r="69" spans="1:15" ht="15" customHeight="1" x14ac:dyDescent="0.35">
      <c r="A69" s="1">
        <v>68</v>
      </c>
      <c r="B69" s="1" t="s">
        <v>375</v>
      </c>
      <c r="C69" s="2" t="s">
        <v>71</v>
      </c>
      <c r="D69" s="3" t="s">
        <v>376</v>
      </c>
      <c r="E69" s="1" t="b">
        <v>1</v>
      </c>
      <c r="F69" s="3" t="s">
        <v>211</v>
      </c>
      <c r="G69" s="1" t="b">
        <v>1</v>
      </c>
      <c r="H69" s="3" t="s">
        <v>212</v>
      </c>
      <c r="I69" s="1" t="b">
        <v>0</v>
      </c>
      <c r="J69" s="1"/>
      <c r="K69" s="1"/>
      <c r="L69" s="3" t="s">
        <v>213</v>
      </c>
      <c r="M69" s="1" t="b">
        <v>1</v>
      </c>
      <c r="N69" s="3" t="s">
        <v>214</v>
      </c>
      <c r="O69" s="1" t="b">
        <v>1</v>
      </c>
    </row>
    <row r="70" spans="1:15" ht="15" customHeight="1" x14ac:dyDescent="0.35">
      <c r="A70" s="1">
        <v>69</v>
      </c>
      <c r="B70" s="1" t="s">
        <v>377</v>
      </c>
      <c r="C70" s="2" t="s">
        <v>71</v>
      </c>
      <c r="D70" s="3" t="s">
        <v>217</v>
      </c>
      <c r="E70" s="1" t="b">
        <v>1</v>
      </c>
      <c r="F70" s="3" t="s">
        <v>215</v>
      </c>
      <c r="G70" s="1" t="b">
        <v>1</v>
      </c>
      <c r="H70" s="1"/>
      <c r="I70" s="1"/>
      <c r="J70" s="1"/>
      <c r="K70" s="1"/>
      <c r="L70" s="3" t="s">
        <v>216</v>
      </c>
      <c r="M70" s="1" t="b">
        <v>0</v>
      </c>
      <c r="N70" s="3" t="s">
        <v>217</v>
      </c>
      <c r="O70" s="1" t="b">
        <v>1</v>
      </c>
    </row>
    <row r="71" spans="1:15" ht="15" customHeight="1" x14ac:dyDescent="0.35">
      <c r="A71" s="1">
        <v>70</v>
      </c>
      <c r="B71" s="1" t="s">
        <v>378</v>
      </c>
      <c r="C71" s="2" t="s">
        <v>71</v>
      </c>
      <c r="D71" s="3" t="s">
        <v>379</v>
      </c>
      <c r="E71" s="1" t="b">
        <v>1</v>
      </c>
      <c r="F71" s="3" t="s">
        <v>218</v>
      </c>
      <c r="G71" s="1" t="b">
        <v>1</v>
      </c>
      <c r="H71" s="1"/>
      <c r="I71" s="1"/>
      <c r="J71" s="1"/>
      <c r="K71" s="1"/>
      <c r="L71" s="3" t="s">
        <v>219</v>
      </c>
      <c r="M71" s="1" t="b">
        <v>0</v>
      </c>
      <c r="N71" s="3" t="s">
        <v>220</v>
      </c>
      <c r="O71" s="1" t="b">
        <v>1</v>
      </c>
    </row>
    <row r="72" spans="1:15" ht="15" customHeight="1" x14ac:dyDescent="0.35">
      <c r="A72" s="1">
        <v>71</v>
      </c>
      <c r="B72" s="1" t="s">
        <v>380</v>
      </c>
      <c r="C72" s="2" t="s">
        <v>71</v>
      </c>
      <c r="D72" s="3" t="s">
        <v>381</v>
      </c>
      <c r="E72" s="1" t="b">
        <v>1</v>
      </c>
      <c r="F72" s="3" t="s">
        <v>221</v>
      </c>
      <c r="G72" s="1" t="b">
        <v>1</v>
      </c>
      <c r="H72" s="3" t="s">
        <v>222</v>
      </c>
      <c r="I72" s="1" t="b">
        <v>0</v>
      </c>
      <c r="J72" s="1"/>
      <c r="K72" s="1"/>
      <c r="L72" s="3" t="s">
        <v>223</v>
      </c>
      <c r="M72" s="1" t="b">
        <v>0</v>
      </c>
      <c r="N72" s="3" t="s">
        <v>224</v>
      </c>
      <c r="O72" s="1" t="b">
        <v>1</v>
      </c>
    </row>
    <row r="73" spans="1:15" ht="15" customHeight="1" x14ac:dyDescent="0.35">
      <c r="A73" s="1">
        <v>72</v>
      </c>
      <c r="B73" s="1" t="s">
        <v>382</v>
      </c>
      <c r="C73" s="2" t="s">
        <v>71</v>
      </c>
      <c r="D73" s="3" t="s">
        <v>383</v>
      </c>
      <c r="E73" s="1" t="b">
        <v>1</v>
      </c>
      <c r="F73" s="3" t="s">
        <v>225</v>
      </c>
      <c r="G73" s="1" t="b">
        <v>1</v>
      </c>
      <c r="H73" s="1"/>
      <c r="I73" s="1"/>
      <c r="J73" s="1"/>
      <c r="K73" s="1"/>
      <c r="L73" s="3" t="s">
        <v>226</v>
      </c>
      <c r="M73" s="1" t="b">
        <v>1</v>
      </c>
      <c r="N73" s="3" t="s">
        <v>227</v>
      </c>
      <c r="O73" s="1" t="b">
        <v>1</v>
      </c>
    </row>
    <row r="74" spans="1:15" ht="15" customHeight="1" x14ac:dyDescent="0.35">
      <c r="A74" s="1">
        <v>73</v>
      </c>
      <c r="B74" s="1" t="s">
        <v>384</v>
      </c>
      <c r="C74" s="2" t="s">
        <v>71</v>
      </c>
      <c r="D74" s="3" t="s">
        <v>385</v>
      </c>
      <c r="E74" s="1" t="b">
        <v>1</v>
      </c>
      <c r="F74" s="3" t="s">
        <v>228</v>
      </c>
      <c r="G74" s="1" t="b">
        <v>0</v>
      </c>
      <c r="H74" s="3" t="s">
        <v>229</v>
      </c>
      <c r="I74" s="1" t="b">
        <v>0</v>
      </c>
      <c r="J74" s="1"/>
      <c r="K74" s="1"/>
      <c r="L74" s="3" t="s">
        <v>230</v>
      </c>
      <c r="M74" s="1" t="b">
        <v>0</v>
      </c>
      <c r="N74" s="3" t="s">
        <v>231</v>
      </c>
      <c r="O74" s="1" t="b">
        <v>0</v>
      </c>
    </row>
    <row r="75" spans="1:15" ht="15" customHeight="1" x14ac:dyDescent="0.35">
      <c r="A75" s="1">
        <v>74</v>
      </c>
      <c r="B75" s="1" t="s">
        <v>386</v>
      </c>
      <c r="C75" s="2" t="s">
        <v>71</v>
      </c>
      <c r="D75" s="3" t="s">
        <v>232</v>
      </c>
      <c r="E75" s="1" t="b">
        <v>1</v>
      </c>
      <c r="F75" s="3" t="s">
        <v>232</v>
      </c>
      <c r="G75" s="1" t="b">
        <v>1</v>
      </c>
      <c r="H75" s="1"/>
      <c r="I75" s="1"/>
      <c r="J75" s="1"/>
      <c r="K75" s="1"/>
      <c r="L75" s="3" t="s">
        <v>233</v>
      </c>
      <c r="M75" s="1" t="b">
        <v>0</v>
      </c>
      <c r="N75" s="3" t="s">
        <v>232</v>
      </c>
      <c r="O75" s="1" t="b">
        <v>1</v>
      </c>
    </row>
    <row r="76" spans="1:15" ht="15" customHeight="1" x14ac:dyDescent="0.35">
      <c r="A76" s="1">
        <v>75</v>
      </c>
      <c r="B76" s="1" t="s">
        <v>387</v>
      </c>
      <c r="C76" s="2" t="s">
        <v>71</v>
      </c>
      <c r="D76" s="3" t="s">
        <v>388</v>
      </c>
      <c r="E76" s="1" t="b">
        <v>1</v>
      </c>
      <c r="F76" s="3" t="s">
        <v>234</v>
      </c>
      <c r="G76" s="1" t="b">
        <v>1</v>
      </c>
      <c r="H76" s="1"/>
      <c r="I76" s="1"/>
      <c r="J76" s="1"/>
      <c r="K76" s="1"/>
      <c r="L76" s="3" t="s">
        <v>235</v>
      </c>
      <c r="M76" s="1" t="b">
        <v>0</v>
      </c>
      <c r="N76" s="3" t="s">
        <v>236</v>
      </c>
      <c r="O76" s="1" t="b">
        <v>1</v>
      </c>
    </row>
    <row r="77" spans="1:15" ht="15" customHeight="1" x14ac:dyDescent="0.35">
      <c r="A77" s="1">
        <v>76</v>
      </c>
      <c r="B77" s="1" t="s">
        <v>389</v>
      </c>
      <c r="C77" s="2" t="s">
        <v>20</v>
      </c>
      <c r="D77" s="3" t="s">
        <v>390</v>
      </c>
      <c r="E77" s="1" t="b">
        <v>1</v>
      </c>
      <c r="F77" s="3" t="s">
        <v>237</v>
      </c>
      <c r="G77" s="1" t="b">
        <v>0</v>
      </c>
      <c r="H77" s="1"/>
      <c r="I77" s="1"/>
      <c r="J77" s="1"/>
      <c r="K77" s="1"/>
      <c r="L77" s="3" t="s">
        <v>238</v>
      </c>
      <c r="M77" s="1" t="b">
        <v>1</v>
      </c>
      <c r="N77" s="1"/>
      <c r="O77" s="1"/>
    </row>
    <row r="78" spans="1:15" ht="15" customHeight="1" x14ac:dyDescent="0.35">
      <c r="A78" s="1">
        <v>77</v>
      </c>
      <c r="B78" s="1" t="s">
        <v>391</v>
      </c>
      <c r="C78" s="2" t="s">
        <v>20</v>
      </c>
      <c r="D78" s="3" t="s">
        <v>392</v>
      </c>
      <c r="E78" s="1" t="b">
        <v>1</v>
      </c>
      <c r="F78" s="3" t="s">
        <v>239</v>
      </c>
      <c r="G78" s="1" t="b">
        <v>1</v>
      </c>
      <c r="H78" s="1"/>
      <c r="I78" s="1"/>
      <c r="J78" s="1"/>
      <c r="K78" s="1"/>
      <c r="L78" s="3" t="s">
        <v>240</v>
      </c>
      <c r="M78" s="1" t="b">
        <v>1</v>
      </c>
      <c r="N78" s="1"/>
      <c r="O78" s="1"/>
    </row>
    <row r="79" spans="1:15" ht="15" customHeight="1" x14ac:dyDescent="0.35">
      <c r="A79" s="1">
        <v>78</v>
      </c>
      <c r="B79" s="1" t="s">
        <v>393</v>
      </c>
      <c r="C79" s="2" t="s">
        <v>20</v>
      </c>
      <c r="D79" s="3" t="s">
        <v>394</v>
      </c>
      <c r="E79" s="1" t="b">
        <v>1</v>
      </c>
      <c r="F79" s="3" t="s">
        <v>241</v>
      </c>
      <c r="G79" s="1" t="b">
        <v>1</v>
      </c>
      <c r="H79" s="1"/>
      <c r="I79" s="1"/>
      <c r="J79" s="1"/>
      <c r="K79" s="1"/>
      <c r="L79" s="3" t="s">
        <v>242</v>
      </c>
      <c r="M79" s="1" t="b">
        <v>1</v>
      </c>
      <c r="N79" s="1"/>
      <c r="O79" s="1"/>
    </row>
    <row r="80" spans="1:15" ht="15" customHeight="1" x14ac:dyDescent="0.35">
      <c r="A80" s="1">
        <v>79</v>
      </c>
      <c r="B80" s="1" t="s">
        <v>395</v>
      </c>
      <c r="C80" s="2" t="s">
        <v>20</v>
      </c>
      <c r="D80" s="3" t="s">
        <v>396</v>
      </c>
      <c r="E80" s="1" t="b">
        <v>1</v>
      </c>
      <c r="F80" s="3" t="s">
        <v>243</v>
      </c>
      <c r="G80" s="1" t="b">
        <v>1</v>
      </c>
      <c r="H80" s="1"/>
      <c r="I80" s="1"/>
      <c r="J80" s="1"/>
      <c r="K80" s="1"/>
      <c r="L80" s="3" t="s">
        <v>244</v>
      </c>
      <c r="M80" s="1" t="b">
        <v>1</v>
      </c>
      <c r="N80" s="1"/>
      <c r="O80" s="1"/>
    </row>
    <row r="81" spans="1:15" ht="15" customHeight="1" x14ac:dyDescent="0.35">
      <c r="A81" s="1">
        <v>80</v>
      </c>
      <c r="B81" s="1" t="s">
        <v>397</v>
      </c>
      <c r="C81" s="2" t="s">
        <v>20</v>
      </c>
      <c r="D81" s="3" t="s">
        <v>398</v>
      </c>
      <c r="E81" s="1" t="b">
        <v>1</v>
      </c>
      <c r="F81" s="3" t="s">
        <v>245</v>
      </c>
      <c r="G81" s="1" t="b">
        <v>1</v>
      </c>
      <c r="H81" s="1"/>
      <c r="I81" s="1"/>
      <c r="J81" s="1"/>
      <c r="K81" s="1"/>
      <c r="L81" s="3" t="s">
        <v>246</v>
      </c>
      <c r="M81" s="1" t="b">
        <v>1</v>
      </c>
      <c r="N81" s="1"/>
      <c r="O81" s="1"/>
    </row>
    <row r="82" spans="1:15" ht="15" customHeight="1" x14ac:dyDescent="0.35">
      <c r="A82" s="1">
        <v>81</v>
      </c>
      <c r="B82" s="1" t="s">
        <v>399</v>
      </c>
      <c r="C82" s="2" t="s">
        <v>93</v>
      </c>
      <c r="D82" s="3" t="s">
        <v>247</v>
      </c>
      <c r="E82" s="1" t="b">
        <v>1</v>
      </c>
      <c r="F82" s="3" t="s">
        <v>247</v>
      </c>
      <c r="G82" s="1" t="b">
        <v>1</v>
      </c>
      <c r="H82" s="1"/>
      <c r="I82" s="1"/>
      <c r="J82" s="1"/>
      <c r="K82" s="1"/>
      <c r="L82" s="3" t="s">
        <v>247</v>
      </c>
      <c r="M82" s="1" t="b">
        <v>1</v>
      </c>
      <c r="N82" s="1"/>
      <c r="O82" s="1"/>
    </row>
    <row r="83" spans="1:15" ht="15" customHeight="1" x14ac:dyDescent="0.35">
      <c r="A83" s="1">
        <v>82</v>
      </c>
      <c r="B83" s="1" t="s">
        <v>400</v>
      </c>
      <c r="C83" s="2" t="s">
        <v>93</v>
      </c>
      <c r="D83" s="3" t="s">
        <v>401</v>
      </c>
      <c r="E83" s="1" t="b">
        <v>0</v>
      </c>
      <c r="F83" s="3" t="s">
        <v>248</v>
      </c>
      <c r="G83" s="1" t="b">
        <v>0</v>
      </c>
      <c r="H83" s="1"/>
      <c r="I83" s="1"/>
      <c r="J83" s="1"/>
      <c r="K83" s="1"/>
      <c r="L83" s="3" t="s">
        <v>249</v>
      </c>
      <c r="M83" s="1" t="b">
        <v>0</v>
      </c>
      <c r="N83" s="1"/>
      <c r="O83" s="1"/>
    </row>
    <row r="84" spans="1:15" ht="15" customHeight="1" x14ac:dyDescent="0.35">
      <c r="A84" s="1">
        <v>83</v>
      </c>
      <c r="B84" s="1" t="s">
        <v>402</v>
      </c>
      <c r="C84" s="2" t="s">
        <v>93</v>
      </c>
      <c r="D84" s="3" t="s">
        <v>251</v>
      </c>
      <c r="E84" s="1" t="b">
        <v>0</v>
      </c>
      <c r="F84" s="3" t="s">
        <v>250</v>
      </c>
      <c r="G84" s="1" t="b">
        <v>0</v>
      </c>
      <c r="H84" s="1"/>
      <c r="I84" s="1"/>
      <c r="J84" s="1"/>
      <c r="K84" s="1"/>
      <c r="L84" s="3" t="s">
        <v>251</v>
      </c>
      <c r="M84" s="1" t="b">
        <v>0</v>
      </c>
      <c r="N84" s="1"/>
      <c r="O84" s="1"/>
    </row>
    <row r="85" spans="1:15" ht="15" customHeight="1" x14ac:dyDescent="0.35">
      <c r="A85" s="1">
        <v>84</v>
      </c>
      <c r="B85" s="1" t="s">
        <v>403</v>
      </c>
      <c r="C85" s="2" t="s">
        <v>93</v>
      </c>
      <c r="D85" s="1" t="s">
        <v>252</v>
      </c>
      <c r="E85" s="1" t="b">
        <v>1</v>
      </c>
      <c r="F85" s="1" t="s">
        <v>252</v>
      </c>
      <c r="G85" s="1" t="b">
        <v>1</v>
      </c>
      <c r="H85" s="1"/>
      <c r="I85" s="1"/>
      <c r="J85" s="1"/>
      <c r="K85" s="1"/>
      <c r="L85" s="1" t="s">
        <v>252</v>
      </c>
      <c r="M85" s="1" t="b">
        <v>1</v>
      </c>
      <c r="N85" s="1"/>
      <c r="O85" s="1"/>
    </row>
    <row r="86" spans="1:15" ht="15" customHeight="1" x14ac:dyDescent="0.35">
      <c r="A86" s="1">
        <v>85</v>
      </c>
      <c r="B86" s="1" t="s">
        <v>404</v>
      </c>
      <c r="C86" s="2" t="s">
        <v>93</v>
      </c>
      <c r="D86" s="1" t="s">
        <v>405</v>
      </c>
      <c r="E86" s="5" t="s">
        <v>254</v>
      </c>
      <c r="F86" s="1" t="s">
        <v>253</v>
      </c>
      <c r="G86" s="1" t="s">
        <v>254</v>
      </c>
      <c r="H86" s="1"/>
      <c r="I86" s="1"/>
      <c r="J86" s="1"/>
      <c r="K86" s="1"/>
      <c r="L86" s="1" t="s">
        <v>253</v>
      </c>
      <c r="M86" s="1" t="s">
        <v>254</v>
      </c>
      <c r="N86" s="1"/>
      <c r="O86" s="1"/>
    </row>
    <row r="87" spans="1:15" ht="15" customHeight="1" x14ac:dyDescent="0.35">
      <c r="A87" s="1">
        <v>86</v>
      </c>
      <c r="B87" s="1" t="s">
        <v>406</v>
      </c>
      <c r="C87" s="2" t="s">
        <v>407</v>
      </c>
      <c r="D87" s="3" t="s">
        <v>408</v>
      </c>
      <c r="E87" s="1" t="b">
        <v>1</v>
      </c>
      <c r="F87" s="3" t="s">
        <v>255</v>
      </c>
      <c r="G87" s="1" t="b">
        <v>1</v>
      </c>
      <c r="H87" s="1"/>
      <c r="I87" s="1"/>
      <c r="J87" s="1"/>
      <c r="K87" s="1"/>
      <c r="L87" s="3" t="s">
        <v>256</v>
      </c>
      <c r="M87" s="1" t="b">
        <v>1</v>
      </c>
      <c r="N87" s="1"/>
      <c r="O87" s="1"/>
    </row>
    <row r="88" spans="1:15" ht="15" customHeight="1" x14ac:dyDescent="0.35">
      <c r="A88" s="1">
        <v>87</v>
      </c>
      <c r="B88" s="1" t="s">
        <v>409</v>
      </c>
      <c r="C88" s="2" t="s">
        <v>407</v>
      </c>
      <c r="D88" s="3" t="s">
        <v>410</v>
      </c>
      <c r="E88" s="1" t="b">
        <v>1</v>
      </c>
      <c r="F88" s="3" t="s">
        <v>257</v>
      </c>
      <c r="G88" s="1" t="b">
        <v>1</v>
      </c>
      <c r="H88" s="1"/>
      <c r="I88" s="1"/>
      <c r="J88" s="3" t="s">
        <v>258</v>
      </c>
      <c r="K88" s="1" t="b">
        <v>1</v>
      </c>
      <c r="L88" s="3" t="s">
        <v>259</v>
      </c>
      <c r="M88" s="1" t="b">
        <v>1</v>
      </c>
      <c r="N88" s="1"/>
      <c r="O88" s="1"/>
    </row>
    <row r="89" spans="1:15" ht="15" customHeight="1" x14ac:dyDescent="0.35">
      <c r="A89" s="1">
        <v>88</v>
      </c>
      <c r="B89" s="1" t="s">
        <v>411</v>
      </c>
      <c r="C89" s="2" t="s">
        <v>407</v>
      </c>
      <c r="D89" s="3" t="s">
        <v>412</v>
      </c>
      <c r="E89" s="1" t="b">
        <v>1</v>
      </c>
      <c r="F89" s="3" t="s">
        <v>260</v>
      </c>
      <c r="G89" s="1" t="b">
        <v>1</v>
      </c>
      <c r="H89" s="3" t="s">
        <v>261</v>
      </c>
      <c r="I89" s="1" t="b">
        <v>1</v>
      </c>
      <c r="J89" s="1"/>
      <c r="K89" s="1"/>
      <c r="L89" s="3" t="s">
        <v>262</v>
      </c>
      <c r="M89" s="1" t="b">
        <v>1</v>
      </c>
      <c r="N89" s="1"/>
      <c r="O89" s="1"/>
    </row>
    <row r="90" spans="1:15" ht="15" customHeight="1" x14ac:dyDescent="0.35">
      <c r="A90" s="1">
        <v>89</v>
      </c>
      <c r="B90" s="1" t="s">
        <v>413</v>
      </c>
      <c r="C90" s="2" t="s">
        <v>407</v>
      </c>
      <c r="D90" s="3" t="s">
        <v>414</v>
      </c>
      <c r="E90" s="1" t="b">
        <v>1</v>
      </c>
      <c r="F90" s="3" t="s">
        <v>263</v>
      </c>
      <c r="G90" s="1" t="b">
        <v>1</v>
      </c>
      <c r="H90" s="1"/>
      <c r="I90" s="1"/>
      <c r="J90" s="1"/>
      <c r="K90" s="1"/>
      <c r="L90" s="3" t="s">
        <v>264</v>
      </c>
      <c r="M90" s="1" t="b">
        <v>1</v>
      </c>
      <c r="N90" s="1"/>
      <c r="O90" s="1"/>
    </row>
    <row r="91" spans="1:15" ht="15" customHeight="1" x14ac:dyDescent="0.35">
      <c r="A91" s="1">
        <v>90</v>
      </c>
      <c r="B91" s="1" t="s">
        <v>415</v>
      </c>
      <c r="C91" s="2" t="s">
        <v>407</v>
      </c>
      <c r="D91" s="3" t="s">
        <v>416</v>
      </c>
      <c r="E91" s="1" t="b">
        <v>1</v>
      </c>
      <c r="F91" s="3" t="s">
        <v>265</v>
      </c>
      <c r="G91" s="1" t="b">
        <v>1</v>
      </c>
      <c r="H91" s="1"/>
      <c r="I91" s="1"/>
      <c r="J91" s="1"/>
      <c r="K91" s="1"/>
      <c r="L91" s="3" t="s">
        <v>266</v>
      </c>
      <c r="M91" s="1" t="b">
        <v>1</v>
      </c>
      <c r="N91" s="1"/>
      <c r="O91" s="1"/>
    </row>
    <row r="92" spans="1:15" ht="15" customHeight="1" x14ac:dyDescent="0.35">
      <c r="A92" s="1">
        <v>91</v>
      </c>
      <c r="B92" s="1" t="s">
        <v>417</v>
      </c>
      <c r="C92" s="2" t="s">
        <v>407</v>
      </c>
      <c r="D92" s="3" t="s">
        <v>267</v>
      </c>
      <c r="E92" s="1" t="b">
        <v>1</v>
      </c>
      <c r="F92" s="3" t="s">
        <v>267</v>
      </c>
      <c r="G92" s="1" t="b">
        <v>1</v>
      </c>
      <c r="H92" s="1"/>
      <c r="I92" s="1"/>
      <c r="J92" s="1"/>
      <c r="K92" s="1"/>
      <c r="L92" s="3" t="s">
        <v>268</v>
      </c>
      <c r="M92" s="1" t="b">
        <v>1</v>
      </c>
      <c r="N92" s="1"/>
      <c r="O92" s="1"/>
    </row>
    <row r="93" spans="1:15" ht="15" customHeight="1" x14ac:dyDescent="0.35">
      <c r="A93" s="1">
        <v>92</v>
      </c>
      <c r="B93" s="1" t="s">
        <v>418</v>
      </c>
      <c r="C93" s="2" t="s">
        <v>407</v>
      </c>
      <c r="D93" s="3" t="s">
        <v>269</v>
      </c>
      <c r="E93" s="1" t="b">
        <v>1</v>
      </c>
      <c r="F93" s="3" t="s">
        <v>269</v>
      </c>
      <c r="G93" s="1" t="b">
        <v>1</v>
      </c>
      <c r="H93" s="1"/>
      <c r="I93" s="1"/>
      <c r="J93" s="3" t="s">
        <v>270</v>
      </c>
      <c r="K93" s="1" t="b">
        <v>1</v>
      </c>
      <c r="L93" s="3" t="s">
        <v>271</v>
      </c>
      <c r="M93" s="1" t="b">
        <v>1</v>
      </c>
      <c r="N93" s="1"/>
      <c r="O93" s="1"/>
    </row>
    <row r="94" spans="1:15" ht="15" customHeight="1" x14ac:dyDescent="0.35">
      <c r="A94" s="1">
        <v>93</v>
      </c>
      <c r="B94" s="1" t="s">
        <v>419</v>
      </c>
      <c r="C94" s="2" t="s">
        <v>407</v>
      </c>
      <c r="D94" s="1" t="s">
        <v>272</v>
      </c>
      <c r="E94" s="1" t="b">
        <v>1</v>
      </c>
      <c r="F94" s="1" t="s">
        <v>272</v>
      </c>
      <c r="G94" s="1" t="b">
        <v>1</v>
      </c>
      <c r="H94" s="1"/>
      <c r="I94" s="1"/>
      <c r="J94" s="1"/>
      <c r="K94" s="1"/>
      <c r="L94" s="1" t="s">
        <v>273</v>
      </c>
      <c r="M94" s="1" t="b">
        <v>1</v>
      </c>
      <c r="N94" s="1"/>
      <c r="O94" s="1"/>
    </row>
    <row r="95" spans="1:15" ht="15" customHeight="1" x14ac:dyDescent="0.35">
      <c r="A95" s="1">
        <v>94</v>
      </c>
      <c r="B95" s="1" t="s">
        <v>420</v>
      </c>
      <c r="C95" s="2" t="s">
        <v>421</v>
      </c>
      <c r="D95" s="1" t="s">
        <v>275</v>
      </c>
      <c r="E95" s="1" t="b">
        <v>1</v>
      </c>
      <c r="F95" s="3" t="s">
        <v>274</v>
      </c>
      <c r="G95" s="1" t="b">
        <v>1</v>
      </c>
      <c r="H95" s="1"/>
      <c r="I95" s="1"/>
      <c r="J95" s="1"/>
      <c r="K95" s="1"/>
      <c r="L95" s="1" t="s">
        <v>275</v>
      </c>
      <c r="M95" s="1" t="b">
        <v>1</v>
      </c>
      <c r="N95" s="1"/>
      <c r="O95" s="1"/>
    </row>
    <row r="96" spans="1:15" ht="15" customHeight="1" x14ac:dyDescent="0.35">
      <c r="A96" s="1">
        <v>95</v>
      </c>
      <c r="B96" s="1" t="s">
        <v>422</v>
      </c>
      <c r="C96" s="2" t="s">
        <v>421</v>
      </c>
      <c r="D96" s="3" t="s">
        <v>423</v>
      </c>
      <c r="E96" s="1" t="b">
        <v>0</v>
      </c>
      <c r="F96" s="3" t="s">
        <v>276</v>
      </c>
      <c r="G96" s="1" t="b">
        <v>0</v>
      </c>
      <c r="H96" s="1"/>
      <c r="I96" s="1"/>
      <c r="J96" s="1"/>
      <c r="K96" s="1"/>
      <c r="L96" s="3" t="s">
        <v>277</v>
      </c>
      <c r="M96" s="1" t="b">
        <v>0</v>
      </c>
      <c r="N96" s="1"/>
      <c r="O96" s="1"/>
    </row>
    <row r="97" spans="1:15" ht="15" customHeight="1" x14ac:dyDescent="0.35">
      <c r="A97" s="1">
        <v>96</v>
      </c>
      <c r="B97" s="1" t="s">
        <v>424</v>
      </c>
      <c r="C97" s="2" t="s">
        <v>421</v>
      </c>
      <c r="D97" s="1" t="s">
        <v>275</v>
      </c>
      <c r="E97" s="1" t="b">
        <v>1</v>
      </c>
      <c r="F97" s="1" t="s">
        <v>275</v>
      </c>
      <c r="G97" s="1" t="b">
        <v>1</v>
      </c>
      <c r="H97" s="1"/>
      <c r="I97" s="1"/>
      <c r="J97" s="1"/>
      <c r="K97" s="1"/>
      <c r="L97" s="1" t="s">
        <v>275</v>
      </c>
      <c r="M97" s="1" t="b">
        <v>1</v>
      </c>
      <c r="N97" s="1"/>
      <c r="O97" s="1"/>
    </row>
    <row r="98" spans="1:15" ht="15" customHeight="1" x14ac:dyDescent="0.35">
      <c r="A98" s="1">
        <v>97</v>
      </c>
      <c r="B98" s="1" t="s">
        <v>425</v>
      </c>
      <c r="C98" s="2" t="s">
        <v>421</v>
      </c>
      <c r="D98" s="3" t="s">
        <v>278</v>
      </c>
      <c r="E98" s="1" t="b">
        <v>1</v>
      </c>
      <c r="F98" s="3" t="s">
        <v>278</v>
      </c>
      <c r="G98" s="1" t="b">
        <v>1</v>
      </c>
      <c r="H98" s="1"/>
      <c r="I98" s="1"/>
      <c r="J98" s="1"/>
      <c r="K98" s="1"/>
      <c r="L98" s="3" t="s">
        <v>279</v>
      </c>
      <c r="M98" s="1" t="b">
        <v>1</v>
      </c>
      <c r="N98" s="1"/>
      <c r="O98" s="1"/>
    </row>
    <row r="99" spans="1:15" ht="15" customHeight="1" x14ac:dyDescent="0.35">
      <c r="A99" s="1">
        <v>98</v>
      </c>
      <c r="B99" s="1" t="s">
        <v>426</v>
      </c>
      <c r="C99" s="2" t="s">
        <v>421</v>
      </c>
      <c r="D99" s="1" t="s">
        <v>427</v>
      </c>
      <c r="E99" s="1" t="b">
        <v>1</v>
      </c>
      <c r="F99" s="1" t="s">
        <v>280</v>
      </c>
      <c r="G99" s="1" t="b">
        <v>1</v>
      </c>
      <c r="H99" s="1"/>
      <c r="I99" s="1"/>
      <c r="J99" s="1"/>
      <c r="K99" s="1"/>
      <c r="L99" s="1" t="s">
        <v>281</v>
      </c>
      <c r="M99" s="1" t="b">
        <v>1</v>
      </c>
      <c r="N99" s="1"/>
      <c r="O99" s="1"/>
    </row>
    <row r="100" spans="1:15" ht="15" customHeight="1" x14ac:dyDescent="0.35">
      <c r="A100" s="1">
        <v>99</v>
      </c>
      <c r="B100" s="1" t="s">
        <v>428</v>
      </c>
      <c r="C100" s="2" t="s">
        <v>421</v>
      </c>
      <c r="D100" s="3" t="s">
        <v>282</v>
      </c>
      <c r="E100" s="1" t="b">
        <v>1</v>
      </c>
      <c r="F100" s="3" t="s">
        <v>282</v>
      </c>
      <c r="G100" s="1" t="b">
        <v>1</v>
      </c>
      <c r="H100" s="3" t="s">
        <v>283</v>
      </c>
      <c r="I100" s="1" t="b">
        <v>0</v>
      </c>
      <c r="J100" s="1"/>
      <c r="K100" s="1"/>
      <c r="L100" s="3" t="s">
        <v>284</v>
      </c>
      <c r="M100" s="1" t="b">
        <v>1</v>
      </c>
      <c r="N100" s="1"/>
      <c r="O100" s="1"/>
    </row>
    <row r="101" spans="1:15" ht="15" customHeight="1" x14ac:dyDescent="0.35">
      <c r="A101" s="1">
        <v>100</v>
      </c>
      <c r="B101" s="1" t="s">
        <v>429</v>
      </c>
      <c r="C101" s="2" t="s">
        <v>421</v>
      </c>
      <c r="D101" s="3" t="s">
        <v>183</v>
      </c>
      <c r="E101" s="1" t="b">
        <v>1</v>
      </c>
      <c r="F101" s="3" t="s">
        <v>285</v>
      </c>
      <c r="G101" s="1" t="b">
        <v>1</v>
      </c>
      <c r="H101" s="1"/>
      <c r="I101" s="1"/>
      <c r="J101" s="1"/>
      <c r="K101" s="1"/>
      <c r="L101" s="3" t="s">
        <v>285</v>
      </c>
      <c r="M101" s="1" t="b">
        <v>1</v>
      </c>
      <c r="N101" s="1"/>
      <c r="O101" s="1"/>
    </row>
    <row r="102" spans="1:15" ht="15" customHeight="1" x14ac:dyDescent="0.35">
      <c r="A102" s="1">
        <v>101</v>
      </c>
      <c r="B102" s="1" t="s">
        <v>430</v>
      </c>
      <c r="C102" s="2" t="s">
        <v>421</v>
      </c>
      <c r="D102" s="3" t="s">
        <v>286</v>
      </c>
      <c r="E102" s="1" t="b">
        <v>1</v>
      </c>
      <c r="F102" s="3" t="s">
        <v>286</v>
      </c>
      <c r="G102" s="1" t="b">
        <v>1</v>
      </c>
      <c r="H102" s="1"/>
      <c r="I102" s="1"/>
      <c r="J102" s="3" t="s">
        <v>287</v>
      </c>
      <c r="K102" s="1" t="b">
        <v>1</v>
      </c>
      <c r="L102" s="3" t="s">
        <v>286</v>
      </c>
      <c r="M102" s="1" t="b">
        <v>1</v>
      </c>
      <c r="N102" s="1"/>
      <c r="O10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Ablation_CIFQA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Kunjesh</dc:creator>
  <cp:lastModifiedBy>Kunjesh Parekh</cp:lastModifiedBy>
  <dcterms:created xsi:type="dcterms:W3CDTF">2015-06-05T18:17:20Z</dcterms:created>
  <dcterms:modified xsi:type="dcterms:W3CDTF">2026-07-13T08:39:22Z</dcterms:modified>
</cp:coreProperties>
</file>